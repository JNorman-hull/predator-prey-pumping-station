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Josh Norman\PhD\C2 -  Predator-prey BourneEau\Data analysis\"/>
    </mc:Choice>
  </mc:AlternateContent>
  <bookViews>
    <workbookView xWindow="0" yWindow="0" windowWidth="12960" windowHeight="11070"/>
  </bookViews>
  <sheets>
    <sheet name="Sheet1" sheetId="1" r:id="rId1"/>
  </sheets>
  <definedNames>
    <definedName name="_xlnm._FilterDatabase" localSheetId="0" hidden="1">Sheet1!$A$1:$AH$224</definedName>
    <definedName name="HighlightRow">224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58" i="1" l="1"/>
  <c r="Y224" i="1" l="1"/>
  <c r="Y223" i="1"/>
  <c r="Y222" i="1"/>
  <c r="Y221" i="1"/>
  <c r="Y218" i="1"/>
  <c r="Y216" i="1"/>
  <c r="Y213" i="1"/>
  <c r="Y212" i="1"/>
  <c r="Y209" i="1"/>
  <c r="Y205" i="1"/>
  <c r="Y204" i="1"/>
  <c r="Y203" i="1"/>
  <c r="Y202" i="1"/>
  <c r="Y201" i="1"/>
  <c r="Y198" i="1"/>
  <c r="Y195" i="1"/>
  <c r="Y194" i="1"/>
  <c r="Y193" i="1"/>
  <c r="Y192" i="1"/>
  <c r="Y184" i="1"/>
  <c r="Y177" i="1"/>
  <c r="Y176" i="1"/>
  <c r="Y175" i="1"/>
  <c r="Y163" i="1"/>
  <c r="Y162" i="1"/>
  <c r="Y161" i="1"/>
  <c r="Y160" i="1"/>
  <c r="Y154" i="1"/>
  <c r="Y148" i="1"/>
  <c r="Y143" i="1"/>
  <c r="Y131" i="1"/>
  <c r="Y129" i="1"/>
  <c r="Y114" i="1"/>
  <c r="Y63" i="1"/>
  <c r="Y48" i="1"/>
  <c r="Y38" i="1"/>
  <c r="Y37" i="1"/>
  <c r="Y36" i="1"/>
  <c r="Y30" i="1"/>
  <c r="Y29" i="1"/>
  <c r="Z224" i="1"/>
  <c r="Z223" i="1"/>
  <c r="Z222" i="1"/>
  <c r="Z221" i="1"/>
  <c r="Z218" i="1"/>
  <c r="Z217" i="1"/>
  <c r="Z216" i="1"/>
  <c r="Z213" i="1"/>
  <c r="Z212" i="1"/>
  <c r="Z210" i="1"/>
  <c r="Z209" i="1"/>
  <c r="Z206" i="1"/>
  <c r="Z205" i="1"/>
  <c r="Z204" i="1"/>
  <c r="Z203" i="1"/>
  <c r="Z202" i="1"/>
  <c r="Z201" i="1"/>
  <c r="Z199" i="1"/>
  <c r="Z198" i="1"/>
  <c r="Z196" i="1"/>
  <c r="Z195" i="1"/>
  <c r="Z194" i="1"/>
  <c r="Z193" i="1"/>
  <c r="Z192" i="1"/>
  <c r="Z191" i="1"/>
  <c r="Z189" i="1"/>
  <c r="Z187" i="1"/>
  <c r="Z184" i="1"/>
  <c r="Z183" i="1"/>
  <c r="Z182" i="1"/>
  <c r="Z181" i="1"/>
  <c r="Z179" i="1"/>
  <c r="Z178" i="1"/>
  <c r="Z177" i="1"/>
  <c r="Z176" i="1"/>
  <c r="Z175" i="1"/>
  <c r="Z170" i="1"/>
  <c r="Z169" i="1"/>
  <c r="Z165" i="1"/>
  <c r="Z164" i="1"/>
  <c r="Z163" i="1"/>
  <c r="Z162" i="1"/>
  <c r="Z161" i="1"/>
  <c r="Z160" i="1"/>
  <c r="Z159" i="1"/>
  <c r="Z156" i="1"/>
  <c r="Z154" i="1"/>
  <c r="Z151" i="1"/>
  <c r="Z150" i="1"/>
  <c r="Z149" i="1"/>
  <c r="Z148" i="1"/>
  <c r="Z145" i="1"/>
  <c r="Z144" i="1"/>
  <c r="Z143" i="1"/>
  <c r="Z140" i="1"/>
  <c r="Z138" i="1"/>
  <c r="Z137" i="1"/>
  <c r="Z136" i="1"/>
  <c r="Z135" i="1"/>
  <c r="Z134" i="1"/>
  <c r="Z133" i="1"/>
  <c r="Z132" i="1"/>
  <c r="Z131" i="1"/>
  <c r="Z130" i="1"/>
  <c r="Z129" i="1"/>
  <c r="Z124" i="1"/>
  <c r="Z123" i="1"/>
  <c r="Z120" i="1"/>
  <c r="Z116" i="1"/>
  <c r="Z115" i="1"/>
  <c r="Z114" i="1"/>
  <c r="Z113" i="1"/>
  <c r="Z111" i="1"/>
  <c r="Z110" i="1"/>
  <c r="Z108" i="1"/>
  <c r="Z107" i="1"/>
  <c r="Z106" i="1"/>
  <c r="Z105" i="1"/>
  <c r="Z104" i="1"/>
  <c r="Z103" i="1"/>
  <c r="Z102" i="1"/>
  <c r="Z101" i="1"/>
  <c r="Z99" i="1"/>
  <c r="Z98" i="1"/>
  <c r="Z96" i="1"/>
  <c r="Z95" i="1"/>
  <c r="Z94" i="1"/>
  <c r="Z93" i="1"/>
  <c r="Z92" i="1"/>
  <c r="Z91" i="1"/>
  <c r="Z90" i="1"/>
  <c r="Z89" i="1"/>
  <c r="Z88" i="1"/>
  <c r="Z87" i="1"/>
  <c r="Z84" i="1"/>
  <c r="Z83" i="1"/>
  <c r="Z80" i="1"/>
  <c r="Z79" i="1"/>
  <c r="Z77" i="1"/>
  <c r="Z74" i="1"/>
  <c r="Z72" i="1"/>
  <c r="Z71" i="1"/>
  <c r="Z70" i="1"/>
  <c r="Z67" i="1"/>
  <c r="Z66" i="1"/>
  <c r="Z65" i="1"/>
  <c r="Z63" i="1"/>
  <c r="Z60" i="1"/>
  <c r="Z57" i="1"/>
  <c r="Z56" i="1"/>
  <c r="Z54" i="1"/>
  <c r="Z53" i="1"/>
  <c r="Z52" i="1"/>
  <c r="Z50" i="1"/>
  <c r="Z49" i="1"/>
  <c r="Z48" i="1"/>
  <c r="Z47" i="1"/>
  <c r="Z45" i="1"/>
  <c r="Z44" i="1"/>
  <c r="Z43" i="1"/>
  <c r="Z42" i="1"/>
  <c r="Z40" i="1"/>
  <c r="Z39" i="1"/>
  <c r="Z38" i="1"/>
  <c r="Z37" i="1"/>
  <c r="Z36" i="1"/>
  <c r="Z35" i="1"/>
  <c r="Z32" i="1"/>
  <c r="Z31" i="1"/>
  <c r="Z30" i="1"/>
  <c r="Z29" i="1"/>
  <c r="Z28" i="1"/>
  <c r="Z26" i="1"/>
  <c r="Z24" i="1"/>
  <c r="Z22" i="1"/>
  <c r="Z20" i="1"/>
  <c r="Z19" i="1"/>
  <c r="Z13" i="1"/>
  <c r="Z12" i="1"/>
  <c r="Z11" i="1"/>
  <c r="Z10" i="1"/>
  <c r="Z8" i="1"/>
  <c r="Z7" i="1"/>
  <c r="Z6" i="1"/>
  <c r="Z5" i="1"/>
  <c r="Z4" i="1"/>
  <c r="Z2" i="1"/>
  <c r="AF218" i="1" l="1"/>
  <c r="AF213" i="1"/>
  <c r="AF210" i="1"/>
  <c r="AF206" i="1"/>
  <c r="AF199" i="1"/>
  <c r="AF196" i="1"/>
  <c r="AF189" i="1"/>
  <c r="AF187" i="1"/>
  <c r="AF179" i="1"/>
  <c r="AF170" i="1"/>
  <c r="AF165" i="1"/>
  <c r="AF156" i="1"/>
  <c r="AF154" i="1"/>
  <c r="AF151" i="1"/>
  <c r="AF145" i="1"/>
  <c r="AF140" i="1"/>
  <c r="AF138" i="1"/>
  <c r="AF124" i="1"/>
  <c r="AF120" i="1"/>
  <c r="AF116" i="1"/>
  <c r="AF111" i="1"/>
  <c r="AF108" i="1"/>
  <c r="AF96" i="1"/>
  <c r="AF84" i="1"/>
  <c r="AF80" i="1"/>
  <c r="AF77" i="1"/>
  <c r="AF74" i="1"/>
  <c r="AF72" i="1"/>
  <c r="AF67" i="1"/>
  <c r="AF60" i="1"/>
  <c r="AF57" i="1"/>
  <c r="AF54" i="1"/>
  <c r="AF50" i="1"/>
  <c r="AF45" i="1"/>
  <c r="AF40" i="1"/>
  <c r="AF32" i="1"/>
  <c r="AF26" i="1"/>
  <c r="AF24" i="1"/>
  <c r="AF22" i="1"/>
  <c r="AF20" i="1"/>
  <c r="AF13" i="1"/>
  <c r="AF2" i="1"/>
  <c r="AF224" i="1"/>
  <c r="AF223" i="1"/>
  <c r="AF222" i="1"/>
  <c r="AF221" i="1"/>
  <c r="AF217" i="1"/>
  <c r="AF216" i="1"/>
  <c r="AF212" i="1"/>
  <c r="AF209" i="1"/>
  <c r="AF205" i="1"/>
  <c r="AF204" i="1"/>
  <c r="AF203" i="1"/>
  <c r="AF202" i="1"/>
  <c r="AF201" i="1"/>
  <c r="AF198" i="1"/>
  <c r="AF195" i="1"/>
  <c r="AF194" i="1"/>
  <c r="AF193" i="1"/>
  <c r="AF192" i="1"/>
  <c r="AF191" i="1"/>
  <c r="AF183" i="1"/>
  <c r="AF182" i="1"/>
  <c r="AF181" i="1"/>
  <c r="AF178" i="1"/>
  <c r="AF177" i="1"/>
  <c r="AF176" i="1"/>
  <c r="AF175" i="1"/>
  <c r="AF169" i="1"/>
  <c r="AF164" i="1"/>
  <c r="AF163" i="1"/>
  <c r="AF162" i="1"/>
  <c r="AF161" i="1"/>
  <c r="AF160" i="1"/>
  <c r="AF159" i="1"/>
  <c r="AF150" i="1"/>
  <c r="AF149" i="1"/>
  <c r="AF148" i="1"/>
  <c r="AF144" i="1"/>
  <c r="AF143" i="1"/>
  <c r="AF137" i="1"/>
  <c r="AF136" i="1"/>
  <c r="AF135" i="1"/>
  <c r="AF134" i="1"/>
  <c r="AF133" i="1"/>
  <c r="AF132" i="1"/>
  <c r="AF131" i="1"/>
  <c r="AF130" i="1"/>
  <c r="AF129" i="1"/>
  <c r="AF123" i="1"/>
  <c r="AF115" i="1"/>
  <c r="AF114" i="1"/>
  <c r="AF113" i="1"/>
  <c r="AF110" i="1"/>
  <c r="AF107" i="1"/>
  <c r="AF106" i="1"/>
  <c r="AF105" i="1"/>
  <c r="AF104" i="1"/>
  <c r="AF103" i="1"/>
  <c r="AF102" i="1"/>
  <c r="AF101" i="1"/>
  <c r="AF99" i="1"/>
  <c r="AF98" i="1"/>
  <c r="AF95" i="1"/>
  <c r="AF94" i="1"/>
  <c r="AF93" i="1"/>
  <c r="AF92" i="1"/>
  <c r="AF91" i="1"/>
  <c r="AF90" i="1"/>
  <c r="AF89" i="1"/>
  <c r="AF88" i="1"/>
  <c r="AF87" i="1"/>
  <c r="AF83" i="1"/>
  <c r="AF79" i="1"/>
  <c r="AF71" i="1"/>
  <c r="AF70" i="1"/>
  <c r="AF66" i="1"/>
  <c r="AF65" i="1"/>
  <c r="AF63" i="1"/>
  <c r="AF56" i="1"/>
  <c r="AF53" i="1"/>
  <c r="AF52" i="1"/>
  <c r="AF49" i="1"/>
  <c r="AF48" i="1"/>
  <c r="AF47" i="1"/>
  <c r="AF44" i="1"/>
  <c r="AF43" i="1"/>
  <c r="AF42" i="1"/>
  <c r="AF39" i="1"/>
  <c r="AF38" i="1"/>
  <c r="AF37" i="1"/>
  <c r="AF36" i="1"/>
  <c r="AF35" i="1"/>
  <c r="AF31" i="1"/>
  <c r="AF30" i="1"/>
  <c r="AF29" i="1"/>
  <c r="AF28" i="1"/>
  <c r="AF19" i="1"/>
  <c r="AF12" i="1"/>
  <c r="AF11" i="1"/>
  <c r="AF10" i="1"/>
  <c r="AF8" i="1"/>
  <c r="AF7" i="1"/>
  <c r="AF6" i="1"/>
  <c r="AF5" i="1"/>
  <c r="AF4" i="1"/>
  <c r="P218" i="1"/>
  <c r="P213" i="1"/>
  <c r="P165" i="1"/>
  <c r="P154" i="1"/>
  <c r="P145" i="1"/>
  <c r="P140" i="1"/>
  <c r="P138" i="1"/>
  <c r="P124" i="1"/>
  <c r="P120" i="1"/>
  <c r="P84" i="1"/>
  <c r="P80" i="1"/>
  <c r="P79" i="1"/>
  <c r="P77" i="1"/>
  <c r="P74" i="1"/>
  <c r="P72" i="1"/>
  <c r="P57" i="1"/>
  <c r="P54" i="1"/>
  <c r="P50" i="1"/>
  <c r="P22" i="1"/>
  <c r="P20" i="1"/>
  <c r="P224" i="1"/>
  <c r="P223" i="1"/>
  <c r="P222" i="1"/>
  <c r="P221" i="1"/>
  <c r="P217" i="1"/>
  <c r="P216" i="1"/>
  <c r="P212" i="1"/>
  <c r="P210" i="1"/>
  <c r="P209" i="1"/>
  <c r="P206" i="1"/>
  <c r="P205" i="1"/>
  <c r="P204" i="1"/>
  <c r="P203" i="1"/>
  <c r="P202" i="1"/>
  <c r="P201" i="1"/>
  <c r="P199" i="1"/>
  <c r="P198" i="1"/>
  <c r="P196" i="1"/>
  <c r="P195" i="1"/>
  <c r="P194" i="1"/>
  <c r="P193" i="1"/>
  <c r="P192" i="1"/>
  <c r="P191" i="1"/>
  <c r="P189" i="1"/>
  <c r="P187" i="1"/>
  <c r="P184" i="1"/>
  <c r="P183" i="1"/>
  <c r="P182" i="1"/>
  <c r="P181" i="1"/>
  <c r="P179" i="1"/>
  <c r="P178" i="1"/>
  <c r="P177" i="1"/>
  <c r="P176" i="1"/>
  <c r="P175" i="1"/>
  <c r="P170" i="1"/>
  <c r="P169" i="1"/>
  <c r="P164" i="1"/>
  <c r="P163" i="1"/>
  <c r="P162" i="1"/>
  <c r="P161" i="1"/>
  <c r="P160" i="1"/>
  <c r="P159" i="1"/>
  <c r="P156" i="1"/>
  <c r="P151" i="1"/>
  <c r="P150" i="1"/>
  <c r="P149" i="1"/>
  <c r="P148" i="1"/>
  <c r="P144" i="1"/>
  <c r="P143" i="1"/>
  <c r="P137" i="1"/>
  <c r="P136" i="1"/>
  <c r="P135" i="1"/>
  <c r="P134" i="1"/>
  <c r="P133" i="1"/>
  <c r="P132" i="1"/>
  <c r="P131" i="1"/>
  <c r="P130" i="1"/>
  <c r="P129" i="1"/>
  <c r="P123" i="1"/>
  <c r="P116" i="1"/>
  <c r="P115" i="1"/>
  <c r="P114" i="1"/>
  <c r="P113" i="1"/>
  <c r="P111" i="1"/>
  <c r="P110" i="1"/>
  <c r="P108" i="1"/>
  <c r="P107" i="1"/>
  <c r="P106" i="1"/>
  <c r="P105" i="1"/>
  <c r="P104" i="1"/>
  <c r="P103" i="1"/>
  <c r="P102" i="1"/>
  <c r="P101" i="1"/>
  <c r="P99" i="1"/>
  <c r="P98" i="1"/>
  <c r="P96" i="1"/>
  <c r="P95" i="1"/>
  <c r="P94" i="1"/>
  <c r="P93" i="1"/>
  <c r="P92" i="1"/>
  <c r="P91" i="1"/>
  <c r="P90" i="1"/>
  <c r="P89" i="1"/>
  <c r="P88" i="1"/>
  <c r="P87" i="1"/>
  <c r="P83" i="1"/>
  <c r="P71" i="1"/>
  <c r="P70" i="1"/>
  <c r="P67" i="1"/>
  <c r="P66" i="1"/>
  <c r="P65" i="1"/>
  <c r="P63" i="1"/>
  <c r="P60" i="1"/>
  <c r="P56" i="1"/>
  <c r="P53" i="1"/>
  <c r="P52" i="1"/>
  <c r="P49" i="1"/>
  <c r="P48" i="1"/>
  <c r="P47" i="1"/>
  <c r="P45" i="1"/>
  <c r="P44" i="1"/>
  <c r="P43" i="1"/>
  <c r="P42" i="1"/>
  <c r="P40" i="1"/>
  <c r="P39" i="1"/>
  <c r="P38" i="1"/>
  <c r="P37" i="1"/>
  <c r="P36" i="1"/>
  <c r="P35" i="1"/>
  <c r="P32" i="1"/>
  <c r="P31" i="1"/>
  <c r="P30" i="1"/>
  <c r="P29" i="1"/>
  <c r="P28" i="1"/>
  <c r="P26" i="1"/>
  <c r="P24" i="1"/>
  <c r="P19" i="1"/>
  <c r="P13" i="1"/>
  <c r="P12" i="1"/>
  <c r="P11" i="1"/>
  <c r="P10" i="1"/>
  <c r="P8" i="1"/>
  <c r="P7" i="1"/>
  <c r="P6" i="1"/>
  <c r="P5" i="1"/>
  <c r="P4" i="1"/>
  <c r="P2" i="1"/>
  <c r="N2" i="1"/>
  <c r="W214" i="1" l="1"/>
  <c r="X214" i="1"/>
  <c r="AA214" i="1"/>
  <c r="X139" i="1"/>
  <c r="Y139" i="1" s="1"/>
  <c r="AA139" i="1"/>
  <c r="W139" i="1"/>
  <c r="W121" i="1"/>
  <c r="X121" i="1"/>
  <c r="Y121" i="1" s="1"/>
  <c r="AA121" i="1"/>
  <c r="W81" i="1"/>
  <c r="X81" i="1"/>
  <c r="Y81" i="1" s="1"/>
  <c r="AA81" i="1"/>
  <c r="X55" i="1"/>
  <c r="W55" i="1"/>
  <c r="X51" i="1"/>
  <c r="W51" i="1"/>
  <c r="W41" i="1"/>
  <c r="X41" i="1"/>
  <c r="W33" i="1"/>
  <c r="X33" i="1"/>
  <c r="Y33" i="1" s="1"/>
  <c r="AA33" i="1"/>
  <c r="W21" i="1"/>
  <c r="X21" i="1"/>
  <c r="Y21" i="1" s="1"/>
  <c r="AA21" i="1"/>
  <c r="X109" i="1"/>
  <c r="AA109" i="1"/>
  <c r="W109" i="1"/>
  <c r="W68" i="1"/>
  <c r="X68" i="1"/>
  <c r="AA68" i="1"/>
  <c r="W25" i="1"/>
  <c r="X25" i="1"/>
  <c r="Y25" i="1" s="1"/>
  <c r="AA25" i="1"/>
  <c r="W3" i="1"/>
  <c r="X3" i="1"/>
  <c r="Y3" i="1" s="1"/>
  <c r="AA3" i="1"/>
  <c r="Y68" i="1" l="1"/>
  <c r="Y109" i="1"/>
  <c r="Y41" i="1"/>
  <c r="Y214" i="1"/>
  <c r="Y51" i="1"/>
  <c r="Y55" i="1"/>
  <c r="AH224" i="1"/>
  <c r="AH223" i="1"/>
  <c r="AE224" i="1"/>
  <c r="R224" i="1"/>
  <c r="AE222" i="1"/>
  <c r="AE223" i="1"/>
  <c r="R223" i="1"/>
  <c r="R222" i="1"/>
  <c r="AH222" i="1"/>
  <c r="R221" i="1"/>
  <c r="AH221" i="1"/>
  <c r="AE221" i="1"/>
  <c r="AH218" i="1"/>
  <c r="AE218" i="1"/>
  <c r="AE219" i="1"/>
  <c r="AE220" i="1"/>
  <c r="R218" i="1"/>
  <c r="AH217" i="1"/>
  <c r="AE217" i="1"/>
  <c r="W217" i="1"/>
  <c r="Y217" i="1" s="1"/>
  <c r="AA217" i="1"/>
  <c r="R217" i="1"/>
  <c r="R216" i="1"/>
  <c r="AH216" i="1"/>
  <c r="AE216" i="1"/>
  <c r="AH213" i="1"/>
  <c r="AE213" i="1"/>
  <c r="AE214" i="1"/>
  <c r="AE215" i="1"/>
  <c r="R213" i="1"/>
  <c r="AH211" i="1"/>
  <c r="AE212" i="1"/>
  <c r="R212" i="1"/>
  <c r="AH210" i="1"/>
  <c r="R210" i="1"/>
  <c r="AE210" i="1"/>
  <c r="AE211" i="1"/>
  <c r="W210" i="1"/>
  <c r="X210" i="1"/>
  <c r="AA210" i="1"/>
  <c r="Y210" i="1" l="1"/>
  <c r="W206" i="1"/>
  <c r="X206" i="1"/>
  <c r="AA206" i="1"/>
  <c r="R209" i="1"/>
  <c r="AH209" i="1"/>
  <c r="AE208" i="1"/>
  <c r="AE209" i="1"/>
  <c r="R206" i="1"/>
  <c r="AH206" i="1"/>
  <c r="AE207" i="1"/>
  <c r="AE206" i="1"/>
  <c r="G209" i="1"/>
  <c r="N209" i="1"/>
  <c r="G210" i="1"/>
  <c r="N210" i="1"/>
  <c r="G211" i="1"/>
  <c r="N211" i="1"/>
  <c r="G212" i="1"/>
  <c r="N212" i="1"/>
  <c r="G213" i="1"/>
  <c r="N213" i="1"/>
  <c r="G214" i="1"/>
  <c r="N214" i="1"/>
  <c r="G215" i="1"/>
  <c r="N215" i="1"/>
  <c r="G216" i="1"/>
  <c r="N216" i="1"/>
  <c r="G217" i="1"/>
  <c r="N217" i="1"/>
  <c r="G218" i="1"/>
  <c r="N218" i="1"/>
  <c r="G219" i="1"/>
  <c r="N219" i="1"/>
  <c r="G220" i="1"/>
  <c r="N220" i="1"/>
  <c r="G221" i="1"/>
  <c r="N221" i="1"/>
  <c r="G222" i="1"/>
  <c r="N222" i="1"/>
  <c r="G223" i="1"/>
  <c r="N223" i="1"/>
  <c r="G224" i="1"/>
  <c r="N224" i="1"/>
  <c r="AH205" i="1"/>
  <c r="AE205" i="1"/>
  <c r="R205" i="1"/>
  <c r="R204" i="1"/>
  <c r="AH204" i="1"/>
  <c r="AE204" i="1"/>
  <c r="AH203" i="1"/>
  <c r="AE203" i="1"/>
  <c r="R203" i="1"/>
  <c r="R202" i="1"/>
  <c r="AH202" i="1"/>
  <c r="AE202" i="1"/>
  <c r="AH201" i="1"/>
  <c r="R201" i="1"/>
  <c r="AE201" i="1"/>
  <c r="W199" i="1"/>
  <c r="X199" i="1"/>
  <c r="AA199" i="1"/>
  <c r="AH199" i="1"/>
  <c r="AE200" i="1"/>
  <c r="AE199" i="1"/>
  <c r="R199" i="1"/>
  <c r="AH198" i="1"/>
  <c r="AE198" i="1"/>
  <c r="R198" i="1"/>
  <c r="AH194" i="1"/>
  <c r="AE194" i="1"/>
  <c r="R194" i="1"/>
  <c r="N194" i="1"/>
  <c r="G194" i="1"/>
  <c r="AH196" i="1"/>
  <c r="AE197" i="1"/>
  <c r="AE196" i="1"/>
  <c r="W196" i="1"/>
  <c r="X196" i="1"/>
  <c r="AA196" i="1"/>
  <c r="R196" i="1"/>
  <c r="AH195" i="1"/>
  <c r="AE195" i="1"/>
  <c r="R195" i="1"/>
  <c r="R193" i="1"/>
  <c r="AH192" i="1"/>
  <c r="AH193" i="1"/>
  <c r="AE193" i="1"/>
  <c r="R192" i="1"/>
  <c r="AE192" i="1"/>
  <c r="AH191" i="1"/>
  <c r="AE191" i="1"/>
  <c r="W191" i="1"/>
  <c r="X191" i="1"/>
  <c r="AA191" i="1"/>
  <c r="R191" i="1"/>
  <c r="AH189" i="1"/>
  <c r="R189" i="1"/>
  <c r="AE189" i="1"/>
  <c r="AE190" i="1"/>
  <c r="W189" i="1"/>
  <c r="X189" i="1"/>
  <c r="AA189" i="1"/>
  <c r="R187" i="1"/>
  <c r="AH187" i="1"/>
  <c r="AE187" i="1"/>
  <c r="AE188" i="1"/>
  <c r="W187" i="1"/>
  <c r="X187" i="1"/>
  <c r="AA187" i="1"/>
  <c r="AH184" i="1"/>
  <c r="AE184" i="1"/>
  <c r="AE185" i="1"/>
  <c r="AE186" i="1"/>
  <c r="R184" i="1"/>
  <c r="X183" i="1"/>
  <c r="AA183" i="1"/>
  <c r="W183" i="1"/>
  <c r="R183" i="1"/>
  <c r="AH183" i="1"/>
  <c r="AE183" i="1"/>
  <c r="R182" i="1"/>
  <c r="W182" i="1"/>
  <c r="X182" i="1"/>
  <c r="Y182" i="1" s="1"/>
  <c r="AA182" i="1"/>
  <c r="AH182" i="1"/>
  <c r="AE182" i="1"/>
  <c r="R181" i="1"/>
  <c r="AH181" i="1"/>
  <c r="AE181" i="1"/>
  <c r="W181" i="1"/>
  <c r="X181" i="1"/>
  <c r="Y181" i="1" s="1"/>
  <c r="AA181" i="1"/>
  <c r="W179" i="1"/>
  <c r="X179" i="1"/>
  <c r="AA179" i="1"/>
  <c r="AH179" i="1"/>
  <c r="AE179" i="1"/>
  <c r="AE180" i="1"/>
  <c r="R179" i="1"/>
  <c r="R178" i="1"/>
  <c r="AH178" i="1"/>
  <c r="AE178" i="1"/>
  <c r="W178" i="1"/>
  <c r="X178" i="1"/>
  <c r="AA178" i="1"/>
  <c r="Y178" i="1" l="1"/>
  <c r="Y187" i="1"/>
  <c r="Y199" i="1"/>
  <c r="Y183" i="1"/>
  <c r="Y179" i="1"/>
  <c r="Y196" i="1"/>
  <c r="Y206" i="1"/>
  <c r="Y189" i="1"/>
  <c r="Y191" i="1"/>
  <c r="G185" i="1"/>
  <c r="N185" i="1"/>
  <c r="G186" i="1"/>
  <c r="N186" i="1"/>
  <c r="G187" i="1"/>
  <c r="N187" i="1"/>
  <c r="G188" i="1"/>
  <c r="N188" i="1"/>
  <c r="G189" i="1"/>
  <c r="N189" i="1"/>
  <c r="G190" i="1"/>
  <c r="N190" i="1"/>
  <c r="G191" i="1"/>
  <c r="N191" i="1"/>
  <c r="G192" i="1"/>
  <c r="N192" i="1"/>
  <c r="G193" i="1"/>
  <c r="N193" i="1"/>
  <c r="G195" i="1"/>
  <c r="N195" i="1"/>
  <c r="G196" i="1"/>
  <c r="N196" i="1"/>
  <c r="N197" i="1"/>
  <c r="G198" i="1"/>
  <c r="N198" i="1"/>
  <c r="G199" i="1"/>
  <c r="N199" i="1"/>
  <c r="G200" i="1"/>
  <c r="N200" i="1"/>
  <c r="G201" i="1"/>
  <c r="N201" i="1"/>
  <c r="G202" i="1"/>
  <c r="N202" i="1"/>
  <c r="G203" i="1"/>
  <c r="N203" i="1"/>
  <c r="G204" i="1"/>
  <c r="N204" i="1"/>
  <c r="G205" i="1"/>
  <c r="N205" i="1"/>
  <c r="G206" i="1"/>
  <c r="N206" i="1"/>
  <c r="G207" i="1"/>
  <c r="N207" i="1"/>
  <c r="G208" i="1"/>
  <c r="N208" i="1"/>
  <c r="R177" i="1"/>
  <c r="AH177" i="1"/>
  <c r="AE177" i="1"/>
  <c r="R176" i="1"/>
  <c r="AH176" i="1"/>
  <c r="AE176" i="1"/>
  <c r="R175" i="1"/>
  <c r="AH175" i="1"/>
  <c r="AE171" i="1"/>
  <c r="AE172" i="1"/>
  <c r="AE173" i="1"/>
  <c r="AE174" i="1"/>
  <c r="AE175" i="1"/>
  <c r="W170" i="1"/>
  <c r="X170" i="1"/>
  <c r="AA170" i="1"/>
  <c r="AE170" i="1"/>
  <c r="AH170" i="1"/>
  <c r="R170" i="1"/>
  <c r="W169" i="1"/>
  <c r="X169" i="1"/>
  <c r="AA169" i="1"/>
  <c r="AH169" i="1"/>
  <c r="AE169" i="1"/>
  <c r="R169" i="1"/>
  <c r="W165" i="1"/>
  <c r="X165" i="1"/>
  <c r="AA165" i="1"/>
  <c r="AH165" i="1"/>
  <c r="AE168" i="1"/>
  <c r="AE167" i="1"/>
  <c r="AE166" i="1"/>
  <c r="AE165" i="1"/>
  <c r="R165" i="1"/>
  <c r="R164" i="1"/>
  <c r="AH164" i="1"/>
  <c r="AE164" i="1"/>
  <c r="W164" i="1"/>
  <c r="X164" i="1"/>
  <c r="AA164" i="1"/>
  <c r="AE163" i="1"/>
  <c r="R163" i="1"/>
  <c r="R161" i="1"/>
  <c r="R162" i="1"/>
  <c r="AE162" i="1"/>
  <c r="AE161" i="1"/>
  <c r="AE160" i="1"/>
  <c r="R160" i="1"/>
  <c r="R159" i="1"/>
  <c r="AH159" i="1"/>
  <c r="AE159" i="1"/>
  <c r="W159" i="1"/>
  <c r="X159" i="1"/>
  <c r="AA159" i="1"/>
  <c r="W156" i="1"/>
  <c r="X156" i="1"/>
  <c r="AA156" i="1"/>
  <c r="AH156" i="1"/>
  <c r="AE158" i="1"/>
  <c r="AE157" i="1"/>
  <c r="AE156" i="1"/>
  <c r="R156" i="1"/>
  <c r="Y156" i="1" l="1"/>
  <c r="Y159" i="1"/>
  <c r="Y169" i="1"/>
  <c r="Y164" i="1"/>
  <c r="Y165" i="1"/>
  <c r="Y170" i="1"/>
  <c r="AH154" i="1"/>
  <c r="AE154" i="1"/>
  <c r="AE155" i="1"/>
  <c r="R154" i="1"/>
  <c r="W151" i="1"/>
  <c r="X151" i="1"/>
  <c r="AA151" i="1"/>
  <c r="R151" i="1"/>
  <c r="AH151" i="1"/>
  <c r="AE153" i="1"/>
  <c r="AE152" i="1"/>
  <c r="AE151" i="1"/>
  <c r="W150" i="1"/>
  <c r="X150" i="1"/>
  <c r="AA150" i="1"/>
  <c r="AH150" i="1"/>
  <c r="R150" i="1"/>
  <c r="AE150" i="1"/>
  <c r="R149" i="1"/>
  <c r="AH149" i="1"/>
  <c r="AE149" i="1"/>
  <c r="W149" i="1"/>
  <c r="X149" i="1"/>
  <c r="AA149" i="1"/>
  <c r="W145" i="1"/>
  <c r="X145" i="1"/>
  <c r="AA145" i="1"/>
  <c r="AH145" i="1"/>
  <c r="AH148" i="1"/>
  <c r="AE145" i="1"/>
  <c r="AE146" i="1"/>
  <c r="AE147" i="1"/>
  <c r="AE148" i="1"/>
  <c r="R145" i="1"/>
  <c r="R148" i="1"/>
  <c r="W144" i="1"/>
  <c r="X144" i="1"/>
  <c r="AA144" i="1"/>
  <c r="AH144" i="1"/>
  <c r="AE144" i="1"/>
  <c r="R144" i="1"/>
  <c r="G151" i="1"/>
  <c r="N151" i="1"/>
  <c r="G152" i="1"/>
  <c r="N152" i="1"/>
  <c r="G153" i="1"/>
  <c r="N153" i="1"/>
  <c r="G154" i="1"/>
  <c r="N154" i="1"/>
  <c r="G155" i="1"/>
  <c r="N155" i="1"/>
  <c r="G156" i="1"/>
  <c r="N156" i="1"/>
  <c r="G157" i="1"/>
  <c r="N157" i="1"/>
  <c r="G158" i="1"/>
  <c r="N158" i="1"/>
  <c r="G159" i="1"/>
  <c r="N159" i="1"/>
  <c r="G160" i="1"/>
  <c r="N160" i="1"/>
  <c r="N161" i="1"/>
  <c r="G162" i="1"/>
  <c r="N162" i="1"/>
  <c r="G163" i="1"/>
  <c r="N163" i="1"/>
  <c r="G164" i="1"/>
  <c r="N164" i="1"/>
  <c r="G165" i="1"/>
  <c r="N165" i="1"/>
  <c r="G166" i="1"/>
  <c r="N166" i="1"/>
  <c r="G167" i="1"/>
  <c r="N167" i="1"/>
  <c r="G168" i="1"/>
  <c r="N168" i="1"/>
  <c r="G169" i="1"/>
  <c r="N169" i="1"/>
  <c r="G170" i="1"/>
  <c r="N170" i="1"/>
  <c r="G171" i="1"/>
  <c r="N171" i="1"/>
  <c r="G172" i="1"/>
  <c r="N172" i="1"/>
  <c r="G173" i="1"/>
  <c r="N173" i="1"/>
  <c r="G174" i="1"/>
  <c r="N174" i="1"/>
  <c r="G175" i="1"/>
  <c r="N175" i="1"/>
  <c r="G176" i="1"/>
  <c r="N176" i="1"/>
  <c r="G177" i="1"/>
  <c r="N177" i="1"/>
  <c r="G178" i="1"/>
  <c r="N178" i="1"/>
  <c r="G179" i="1"/>
  <c r="N179" i="1"/>
  <c r="G180" i="1"/>
  <c r="N180" i="1"/>
  <c r="G181" i="1"/>
  <c r="N181" i="1"/>
  <c r="G182" i="1"/>
  <c r="N182" i="1"/>
  <c r="G183" i="1"/>
  <c r="N183" i="1"/>
  <c r="G184" i="1"/>
  <c r="N184" i="1"/>
  <c r="W140" i="1"/>
  <c r="X140" i="1"/>
  <c r="AA140" i="1"/>
  <c r="AH140" i="1"/>
  <c r="AH141" i="1"/>
  <c r="AE140" i="1"/>
  <c r="AE141" i="1"/>
  <c r="AE142" i="1"/>
  <c r="AE143" i="1"/>
  <c r="R140" i="1"/>
  <c r="R143" i="1"/>
  <c r="X138" i="1"/>
  <c r="AA138" i="1"/>
  <c r="W138" i="1"/>
  <c r="R138" i="1"/>
  <c r="AH138" i="1"/>
  <c r="AE138" i="1"/>
  <c r="AE139" i="1"/>
  <c r="X137" i="1"/>
  <c r="AA137" i="1"/>
  <c r="W137" i="1"/>
  <c r="AE137" i="1"/>
  <c r="AH137" i="1"/>
  <c r="R137" i="1"/>
  <c r="X136" i="1"/>
  <c r="AA136" i="1"/>
  <c r="W136" i="1"/>
  <c r="R136" i="1"/>
  <c r="AH136" i="1"/>
  <c r="AE136" i="1"/>
  <c r="W134" i="1"/>
  <c r="X134" i="1"/>
  <c r="AA134" i="1"/>
  <c r="W135" i="1"/>
  <c r="X135" i="1"/>
  <c r="AA135" i="1"/>
  <c r="AH135" i="1"/>
  <c r="AE135" i="1"/>
  <c r="R135" i="1"/>
  <c r="R134" i="1"/>
  <c r="AH134" i="1"/>
  <c r="AE134" i="1"/>
  <c r="W133" i="1"/>
  <c r="X133" i="1"/>
  <c r="AA133" i="1"/>
  <c r="R133" i="1"/>
  <c r="AH133" i="1"/>
  <c r="AE133" i="1"/>
  <c r="W132" i="1"/>
  <c r="X132" i="1"/>
  <c r="AA132" i="1"/>
  <c r="R132" i="1"/>
  <c r="AH132" i="1"/>
  <c r="AE132" i="1"/>
  <c r="AH131" i="1"/>
  <c r="R131" i="1"/>
  <c r="AE131" i="1"/>
  <c r="W130" i="1"/>
  <c r="X130" i="1"/>
  <c r="AA130" i="1"/>
  <c r="R130" i="1"/>
  <c r="AH130" i="1"/>
  <c r="AE130" i="1"/>
  <c r="AE129" i="1"/>
  <c r="AH129" i="1"/>
  <c r="R129" i="1"/>
  <c r="N129" i="1"/>
  <c r="N130" i="1"/>
  <c r="N131" i="1"/>
  <c r="N132" i="1"/>
  <c r="N133" i="1"/>
  <c r="N134" i="1"/>
  <c r="W124" i="1"/>
  <c r="X124" i="1"/>
  <c r="AA124" i="1"/>
  <c r="AH124" i="1"/>
  <c r="AE124" i="1"/>
  <c r="AE125" i="1"/>
  <c r="AE126" i="1"/>
  <c r="AE127" i="1"/>
  <c r="AE128" i="1"/>
  <c r="R124" i="1"/>
  <c r="G128" i="1"/>
  <c r="N128" i="1"/>
  <c r="G129" i="1"/>
  <c r="G130" i="1"/>
  <c r="G131" i="1"/>
  <c r="G132" i="1"/>
  <c r="G133" i="1"/>
  <c r="G134" i="1"/>
  <c r="G135" i="1"/>
  <c r="N135" i="1"/>
  <c r="G136" i="1"/>
  <c r="N136" i="1"/>
  <c r="G137" i="1"/>
  <c r="N137" i="1"/>
  <c r="G138" i="1"/>
  <c r="N138" i="1"/>
  <c r="G139" i="1"/>
  <c r="N139" i="1"/>
  <c r="G140" i="1"/>
  <c r="N140" i="1"/>
  <c r="G141" i="1"/>
  <c r="N141" i="1"/>
  <c r="G142" i="1"/>
  <c r="N142" i="1"/>
  <c r="G143" i="1"/>
  <c r="N143" i="1"/>
  <c r="G144" i="1"/>
  <c r="N144" i="1"/>
  <c r="G145" i="1"/>
  <c r="N145" i="1"/>
  <c r="G146" i="1"/>
  <c r="N146" i="1"/>
  <c r="G147" i="1"/>
  <c r="N147" i="1"/>
  <c r="G148" i="1"/>
  <c r="N148" i="1"/>
  <c r="G149" i="1"/>
  <c r="N149" i="1"/>
  <c r="G150" i="1"/>
  <c r="N150" i="1"/>
  <c r="W123" i="1"/>
  <c r="X123" i="1"/>
  <c r="AA123" i="1"/>
  <c r="R123" i="1"/>
  <c r="AH123" i="1"/>
  <c r="AE123" i="1"/>
  <c r="W120" i="1"/>
  <c r="X120" i="1"/>
  <c r="AA120" i="1"/>
  <c r="AH120" i="1"/>
  <c r="R120" i="1"/>
  <c r="AE120" i="1"/>
  <c r="AE121" i="1"/>
  <c r="AE122" i="1"/>
  <c r="W116" i="1"/>
  <c r="X116" i="1"/>
  <c r="AA116" i="1"/>
  <c r="AH116" i="1"/>
  <c r="AE117" i="1"/>
  <c r="AE118" i="1"/>
  <c r="AE119" i="1"/>
  <c r="R116" i="1"/>
  <c r="AE116" i="1"/>
  <c r="AA114" i="1"/>
  <c r="W115" i="1"/>
  <c r="X115" i="1"/>
  <c r="AA115" i="1"/>
  <c r="AE115" i="1"/>
  <c r="AH115" i="1"/>
  <c r="R115" i="1"/>
  <c r="Y138" i="1" l="1"/>
  <c r="Y115" i="1"/>
  <c r="Y123" i="1"/>
  <c r="Y133" i="1"/>
  <c r="Y134" i="1"/>
  <c r="Y130" i="1"/>
  <c r="Y149" i="1"/>
  <c r="Y135" i="1"/>
  <c r="Y137" i="1"/>
  <c r="Y116" i="1"/>
  <c r="Y120" i="1"/>
  <c r="Y124" i="1"/>
  <c r="Y132" i="1"/>
  <c r="Y140" i="1"/>
  <c r="Y145" i="1"/>
  <c r="Y150" i="1"/>
  <c r="Y151" i="1"/>
  <c r="Y136" i="1"/>
  <c r="Y144" i="1"/>
  <c r="AH113" i="1"/>
  <c r="AH114" i="1"/>
  <c r="AE114" i="1"/>
  <c r="R114" i="1"/>
  <c r="W111" i="1"/>
  <c r="Y111" i="1" s="1"/>
  <c r="AA111" i="1"/>
  <c r="W113" i="1"/>
  <c r="X113" i="1"/>
  <c r="AA113" i="1"/>
  <c r="R113" i="1"/>
  <c r="AE113" i="1"/>
  <c r="AE112" i="1"/>
  <c r="AH111" i="1"/>
  <c r="AE111" i="1"/>
  <c r="R111" i="1"/>
  <c r="W110" i="1"/>
  <c r="X110" i="1"/>
  <c r="AA110" i="1"/>
  <c r="AH110" i="1"/>
  <c r="AE110" i="1"/>
  <c r="R110" i="1"/>
  <c r="X108" i="1"/>
  <c r="AA108" i="1"/>
  <c r="W108" i="1"/>
  <c r="AH108" i="1"/>
  <c r="AE108" i="1"/>
  <c r="AE109" i="1"/>
  <c r="R108" i="1"/>
  <c r="X107" i="1"/>
  <c r="AA107" i="1"/>
  <c r="W107" i="1"/>
  <c r="X106" i="1"/>
  <c r="AA106" i="1"/>
  <c r="W106" i="1"/>
  <c r="AH107" i="1"/>
  <c r="AE107" i="1"/>
  <c r="R107" i="1"/>
  <c r="AE106" i="1"/>
  <c r="AH106" i="1"/>
  <c r="R106" i="1"/>
  <c r="Y108" i="1" l="1"/>
  <c r="Y110" i="1"/>
  <c r="Y107" i="1"/>
  <c r="Y113" i="1"/>
  <c r="Y106" i="1"/>
  <c r="X105" i="1"/>
  <c r="AA105" i="1"/>
  <c r="W105" i="1"/>
  <c r="AH105" i="1"/>
  <c r="R105" i="1"/>
  <c r="AE105" i="1"/>
  <c r="X104" i="1"/>
  <c r="Y104" i="1" s="1"/>
  <c r="AA104" i="1"/>
  <c r="W104" i="1"/>
  <c r="AH104" i="1"/>
  <c r="AE104" i="1"/>
  <c r="R104" i="1"/>
  <c r="X103" i="1"/>
  <c r="AA103" i="1"/>
  <c r="W103" i="1"/>
  <c r="AH103" i="1"/>
  <c r="AE103" i="1"/>
  <c r="R103" i="1"/>
  <c r="W102" i="1"/>
  <c r="X102" i="1"/>
  <c r="AA102" i="1"/>
  <c r="R102" i="1"/>
  <c r="AH102" i="1"/>
  <c r="AE102" i="1"/>
  <c r="R101" i="1"/>
  <c r="AH101" i="1"/>
  <c r="AE101" i="1"/>
  <c r="W101" i="1"/>
  <c r="X101" i="1"/>
  <c r="AA101" i="1"/>
  <c r="G103" i="1"/>
  <c r="N103" i="1"/>
  <c r="G104" i="1"/>
  <c r="N104" i="1"/>
  <c r="G105" i="1"/>
  <c r="N105" i="1"/>
  <c r="G106" i="1"/>
  <c r="N106" i="1"/>
  <c r="G107" i="1"/>
  <c r="N107" i="1"/>
  <c r="G108" i="1"/>
  <c r="N108" i="1"/>
  <c r="G109" i="1"/>
  <c r="N109" i="1"/>
  <c r="G110" i="1"/>
  <c r="N110" i="1"/>
  <c r="G111" i="1"/>
  <c r="N111" i="1"/>
  <c r="G112" i="1"/>
  <c r="N112" i="1"/>
  <c r="G113" i="1"/>
  <c r="N113" i="1"/>
  <c r="G114" i="1"/>
  <c r="N114" i="1"/>
  <c r="G115" i="1"/>
  <c r="N115" i="1"/>
  <c r="G116" i="1"/>
  <c r="N116" i="1"/>
  <c r="G117" i="1"/>
  <c r="N117" i="1"/>
  <c r="G118" i="1"/>
  <c r="N118" i="1"/>
  <c r="G119" i="1"/>
  <c r="N119" i="1"/>
  <c r="G120" i="1"/>
  <c r="N120" i="1"/>
  <c r="G121" i="1"/>
  <c r="N121" i="1"/>
  <c r="G122" i="1"/>
  <c r="N122" i="1"/>
  <c r="G123" i="1"/>
  <c r="N123" i="1"/>
  <c r="G124" i="1"/>
  <c r="N124" i="1"/>
  <c r="G125" i="1"/>
  <c r="N125" i="1"/>
  <c r="G126" i="1"/>
  <c r="N126" i="1"/>
  <c r="G127" i="1"/>
  <c r="N127" i="1"/>
  <c r="X99" i="1"/>
  <c r="AA99" i="1"/>
  <c r="W99" i="1"/>
  <c r="AH99" i="1"/>
  <c r="AE99" i="1"/>
  <c r="AE100" i="1"/>
  <c r="R99" i="1"/>
  <c r="W98" i="1"/>
  <c r="X98" i="1"/>
  <c r="AA98" i="1"/>
  <c r="AH98" i="1"/>
  <c r="AE98" i="1"/>
  <c r="X96" i="1"/>
  <c r="AA96" i="1"/>
  <c r="W96" i="1"/>
  <c r="AH96" i="1"/>
  <c r="AE97" i="1"/>
  <c r="AE96" i="1"/>
  <c r="R96" i="1"/>
  <c r="X95" i="1"/>
  <c r="AA95" i="1"/>
  <c r="W95" i="1"/>
  <c r="R95" i="1"/>
  <c r="AH95" i="1"/>
  <c r="AE95" i="1"/>
  <c r="X94" i="1"/>
  <c r="AA94" i="1"/>
  <c r="W94" i="1"/>
  <c r="AH94" i="1"/>
  <c r="AE94" i="1"/>
  <c r="R94" i="1"/>
  <c r="X93" i="1"/>
  <c r="AA93" i="1"/>
  <c r="W93" i="1"/>
  <c r="AH93" i="1"/>
  <c r="AE93" i="1"/>
  <c r="R93" i="1"/>
  <c r="X92" i="1"/>
  <c r="AA92" i="1"/>
  <c r="W92" i="1"/>
  <c r="AE92" i="1"/>
  <c r="AH92" i="1"/>
  <c r="R92" i="1"/>
  <c r="Y93" i="1" l="1"/>
  <c r="Y92" i="1"/>
  <c r="Y94" i="1"/>
  <c r="Y98" i="1"/>
  <c r="Y101" i="1"/>
  <c r="Y103" i="1"/>
  <c r="Y105" i="1"/>
  <c r="Y96" i="1"/>
  <c r="Y99" i="1"/>
  <c r="Y95" i="1"/>
  <c r="Y102" i="1"/>
  <c r="X91" i="1"/>
  <c r="AA91" i="1"/>
  <c r="W91" i="1"/>
  <c r="AH91" i="1"/>
  <c r="AE91" i="1"/>
  <c r="R91" i="1"/>
  <c r="W90" i="1"/>
  <c r="X90" i="1"/>
  <c r="Y90" i="1" s="1"/>
  <c r="AA90" i="1"/>
  <c r="R90" i="1"/>
  <c r="AH90" i="1"/>
  <c r="AE90" i="1"/>
  <c r="W89" i="1"/>
  <c r="X89" i="1"/>
  <c r="AA89" i="1"/>
  <c r="AH89" i="1"/>
  <c r="AE89" i="1"/>
  <c r="R89" i="1"/>
  <c r="W88" i="1"/>
  <c r="X88" i="1"/>
  <c r="Y88" i="1" s="1"/>
  <c r="AA88" i="1"/>
  <c r="R88" i="1"/>
  <c r="AH88" i="1"/>
  <c r="AE88" i="1"/>
  <c r="W87" i="1"/>
  <c r="X87" i="1"/>
  <c r="AA87" i="1"/>
  <c r="R87" i="1"/>
  <c r="AH87" i="1"/>
  <c r="AE87" i="1"/>
  <c r="W80" i="1"/>
  <c r="X80" i="1"/>
  <c r="Y80" i="1" s="1"/>
  <c r="AA80" i="1"/>
  <c r="W83" i="1"/>
  <c r="X83" i="1"/>
  <c r="AA83" i="1"/>
  <c r="W84" i="1"/>
  <c r="X84" i="1"/>
  <c r="AA84" i="1"/>
  <c r="AH84" i="1"/>
  <c r="AE84" i="1"/>
  <c r="AE85" i="1"/>
  <c r="AE86" i="1"/>
  <c r="R84" i="1"/>
  <c r="AH83" i="1"/>
  <c r="AE83" i="1"/>
  <c r="R83" i="1"/>
  <c r="AH80" i="1"/>
  <c r="R80" i="1"/>
  <c r="AE82" i="1"/>
  <c r="AE81" i="1"/>
  <c r="AE79" i="1"/>
  <c r="AE80" i="1"/>
  <c r="Y83" i="1" l="1"/>
  <c r="Y91" i="1"/>
  <c r="Y84" i="1"/>
  <c r="Y87" i="1"/>
  <c r="Y89" i="1"/>
  <c r="W79" i="1"/>
  <c r="X79" i="1"/>
  <c r="AA79" i="1"/>
  <c r="AH79" i="1"/>
  <c r="R79" i="1"/>
  <c r="W77" i="1"/>
  <c r="X77" i="1"/>
  <c r="Y77" i="1" s="1"/>
  <c r="AA77" i="1"/>
  <c r="AH77" i="1"/>
  <c r="AE77" i="1"/>
  <c r="AE78" i="1"/>
  <c r="R77" i="1"/>
  <c r="AA74" i="1"/>
  <c r="X74" i="1"/>
  <c r="W74" i="1"/>
  <c r="AE74" i="1"/>
  <c r="AE75" i="1"/>
  <c r="AE76" i="1"/>
  <c r="R74" i="1"/>
  <c r="W72" i="1"/>
  <c r="X72" i="1"/>
  <c r="AA72" i="1"/>
  <c r="AH72" i="1"/>
  <c r="AE73" i="1"/>
  <c r="R72" i="1"/>
  <c r="AE72" i="1"/>
  <c r="AH71" i="1"/>
  <c r="W71" i="1"/>
  <c r="X71" i="1"/>
  <c r="AA71" i="1"/>
  <c r="AE71" i="1"/>
  <c r="Y74" i="1" l="1"/>
  <c r="Y71" i="1"/>
  <c r="Y72" i="1"/>
  <c r="Y79" i="1"/>
  <c r="AH70" i="1"/>
  <c r="AE70" i="1"/>
  <c r="W70" i="1"/>
  <c r="X70" i="1"/>
  <c r="Y70" i="1" s="1"/>
  <c r="AA70" i="1"/>
  <c r="W67" i="1"/>
  <c r="X67" i="1"/>
  <c r="AA67" i="1"/>
  <c r="R70" i="1"/>
  <c r="R67" i="1"/>
  <c r="AH66" i="1"/>
  <c r="AH67" i="1"/>
  <c r="AE67" i="1"/>
  <c r="AE68" i="1"/>
  <c r="AE69" i="1"/>
  <c r="W66" i="1"/>
  <c r="X66" i="1"/>
  <c r="AA66" i="1"/>
  <c r="AA63" i="1"/>
  <c r="AA65" i="1"/>
  <c r="W65" i="1"/>
  <c r="X65" i="1"/>
  <c r="R66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AE66" i="1"/>
  <c r="N65" i="1"/>
  <c r="AE65" i="1"/>
  <c r="R63" i="1"/>
  <c r="R65" i="1"/>
  <c r="N63" i="1"/>
  <c r="N64" i="1"/>
  <c r="AE64" i="1"/>
  <c r="AH63" i="1"/>
  <c r="AE63" i="1"/>
  <c r="AA58" i="1"/>
  <c r="AA59" i="1"/>
  <c r="W60" i="1"/>
  <c r="X60" i="1"/>
  <c r="AA60" i="1"/>
  <c r="R60" i="1"/>
  <c r="N62" i="1"/>
  <c r="AH60" i="1"/>
  <c r="AE62" i="1"/>
  <c r="N61" i="1"/>
  <c r="AE61" i="1"/>
  <c r="N60" i="1"/>
  <c r="AE60" i="1"/>
  <c r="AA55" i="1"/>
  <c r="W56" i="1"/>
  <c r="X56" i="1"/>
  <c r="AA56" i="1"/>
  <c r="W57" i="1"/>
  <c r="X57" i="1"/>
  <c r="AA57" i="1"/>
  <c r="R57" i="1"/>
  <c r="AH57" i="1"/>
  <c r="AE58" i="1"/>
  <c r="AE59" i="1"/>
  <c r="N59" i="1"/>
  <c r="AE57" i="1"/>
  <c r="N58" i="1"/>
  <c r="AH56" i="1"/>
  <c r="AE56" i="1"/>
  <c r="R56" i="1"/>
  <c r="N56" i="1"/>
  <c r="X54" i="1"/>
  <c r="AA54" i="1"/>
  <c r="W54" i="1"/>
  <c r="AH54" i="1"/>
  <c r="AE55" i="1"/>
  <c r="R54" i="1"/>
  <c r="N54" i="1"/>
  <c r="N55" i="1"/>
  <c r="AE54" i="1"/>
  <c r="AA51" i="1"/>
  <c r="W52" i="1"/>
  <c r="X52" i="1"/>
  <c r="AA52" i="1"/>
  <c r="W53" i="1"/>
  <c r="X53" i="1"/>
  <c r="Y53" i="1" s="1"/>
  <c r="AA53" i="1"/>
  <c r="AH53" i="1"/>
  <c r="AE53" i="1"/>
  <c r="R53" i="1"/>
  <c r="N52" i="1"/>
  <c r="N53" i="1"/>
  <c r="AE52" i="1"/>
  <c r="AH52" i="1"/>
  <c r="R52" i="1"/>
  <c r="Y67" i="1" l="1"/>
  <c r="Y56" i="1"/>
  <c r="Y60" i="1"/>
  <c r="Y65" i="1"/>
  <c r="Y54" i="1"/>
  <c r="Y52" i="1"/>
  <c r="Y57" i="1"/>
  <c r="Y66" i="1"/>
  <c r="X50" i="1"/>
  <c r="AA50" i="1"/>
  <c r="W50" i="1"/>
  <c r="AH50" i="1"/>
  <c r="AE51" i="1"/>
  <c r="AE50" i="1"/>
  <c r="N48" i="1"/>
  <c r="N49" i="1"/>
  <c r="N50" i="1"/>
  <c r="N51" i="1"/>
  <c r="R50" i="1"/>
  <c r="AH49" i="1"/>
  <c r="W49" i="1"/>
  <c r="X49" i="1"/>
  <c r="AA49" i="1"/>
  <c r="AE48" i="1"/>
  <c r="AE49" i="1"/>
  <c r="R49" i="1"/>
  <c r="AH48" i="1"/>
  <c r="AA48" i="1"/>
  <c r="R48" i="1"/>
  <c r="Y49" i="1" l="1"/>
  <c r="Y50" i="1"/>
  <c r="X47" i="1"/>
  <c r="AA47" i="1"/>
  <c r="W47" i="1"/>
  <c r="X45" i="1"/>
  <c r="AA45" i="1"/>
  <c r="W45" i="1"/>
  <c r="AH47" i="1"/>
  <c r="AE47" i="1"/>
  <c r="R47" i="1"/>
  <c r="N47" i="1"/>
  <c r="R45" i="1"/>
  <c r="N45" i="1"/>
  <c r="N46" i="1"/>
  <c r="AE46" i="1"/>
  <c r="AE45" i="1"/>
  <c r="AH45" i="1"/>
  <c r="X44" i="1"/>
  <c r="AA44" i="1"/>
  <c r="W44" i="1"/>
  <c r="R44" i="1"/>
  <c r="AE44" i="1"/>
  <c r="N44" i="1"/>
  <c r="AH44" i="1"/>
  <c r="W42" i="1"/>
  <c r="Y42" i="1" s="1"/>
  <c r="W43" i="1"/>
  <c r="X43" i="1"/>
  <c r="Y43" i="1" s="1"/>
  <c r="AA43" i="1"/>
  <c r="R43" i="1"/>
  <c r="N43" i="1"/>
  <c r="AE43" i="1"/>
  <c r="AH43" i="1"/>
  <c r="AA41" i="1"/>
  <c r="AA42" i="1"/>
  <c r="AH42" i="1"/>
  <c r="AE42" i="1"/>
  <c r="R42" i="1"/>
  <c r="N42" i="1"/>
  <c r="Y45" i="1" l="1"/>
  <c r="Y44" i="1"/>
  <c r="Y47" i="1"/>
  <c r="W40" i="1"/>
  <c r="X40" i="1"/>
  <c r="AA40" i="1"/>
  <c r="AE41" i="1"/>
  <c r="AH40" i="1"/>
  <c r="AE40" i="1"/>
  <c r="N40" i="1"/>
  <c r="R40" i="1"/>
  <c r="N41" i="1"/>
  <c r="W39" i="1"/>
  <c r="X39" i="1"/>
  <c r="AA39" i="1"/>
  <c r="AE36" i="1"/>
  <c r="AE37" i="1"/>
  <c r="AE38" i="1"/>
  <c r="AE39" i="1"/>
  <c r="AH37" i="1"/>
  <c r="AH38" i="1"/>
  <c r="AH39" i="1"/>
  <c r="N35" i="1"/>
  <c r="N36" i="1"/>
  <c r="N37" i="1"/>
  <c r="N38" i="1"/>
  <c r="N39" i="1"/>
  <c r="R39" i="1"/>
  <c r="AH36" i="1"/>
  <c r="R36" i="1"/>
  <c r="R37" i="1"/>
  <c r="R38" i="1"/>
  <c r="W35" i="1"/>
  <c r="X35" i="1"/>
  <c r="AA35" i="1"/>
  <c r="AE35" i="1"/>
  <c r="R35" i="1"/>
  <c r="AH35" i="1"/>
  <c r="W32" i="1"/>
  <c r="X32" i="1"/>
  <c r="Y32" i="1" s="1"/>
  <c r="AA29" i="1"/>
  <c r="AA30" i="1"/>
  <c r="AA31" i="1"/>
  <c r="AA32" i="1"/>
  <c r="W31" i="1"/>
  <c r="X31" i="1"/>
  <c r="AE33" i="1"/>
  <c r="AE34" i="1"/>
  <c r="AE32" i="1"/>
  <c r="AH32" i="1"/>
  <c r="N34" i="1"/>
  <c r="N33" i="1"/>
  <c r="N32" i="1"/>
  <c r="R32" i="1"/>
  <c r="AE31" i="1"/>
  <c r="AH31" i="1"/>
  <c r="N31" i="1"/>
  <c r="R31" i="1"/>
  <c r="Y31" i="1" l="1"/>
  <c r="Y35" i="1"/>
  <c r="Y39" i="1"/>
  <c r="Y40" i="1"/>
  <c r="AE29" i="1"/>
  <c r="AH29" i="1"/>
  <c r="AE30" i="1"/>
  <c r="AH30" i="1"/>
  <c r="N29" i="1"/>
  <c r="N30" i="1"/>
  <c r="R29" i="1"/>
  <c r="R30" i="1"/>
  <c r="W28" i="1"/>
  <c r="X28" i="1"/>
  <c r="AA28" i="1"/>
  <c r="AH28" i="1"/>
  <c r="AE28" i="1"/>
  <c r="N28" i="1"/>
  <c r="R28" i="1"/>
  <c r="Y28" i="1" l="1"/>
  <c r="W26" i="1"/>
  <c r="X26" i="1"/>
  <c r="AA26" i="1"/>
  <c r="W24" i="1"/>
  <c r="X24" i="1"/>
  <c r="AA24" i="1"/>
  <c r="AH26" i="1"/>
  <c r="R26" i="1"/>
  <c r="N26" i="1"/>
  <c r="N27" i="1"/>
  <c r="AE26" i="1"/>
  <c r="AE27" i="1"/>
  <c r="N25" i="1"/>
  <c r="AE25" i="1"/>
  <c r="R24" i="1"/>
  <c r="AH24" i="1"/>
  <c r="AE24" i="1"/>
  <c r="N24" i="1"/>
  <c r="W22" i="1"/>
  <c r="X22" i="1"/>
  <c r="AA22" i="1"/>
  <c r="W20" i="1"/>
  <c r="X20" i="1"/>
  <c r="AA20" i="1"/>
  <c r="AH22" i="1"/>
  <c r="AE22" i="1"/>
  <c r="AE23" i="1"/>
  <c r="G24" i="1"/>
  <c r="R22" i="1"/>
  <c r="N20" i="1"/>
  <c r="N21" i="1"/>
  <c r="N23" i="1"/>
  <c r="AH20" i="1"/>
  <c r="AE21" i="1"/>
  <c r="R20" i="1"/>
  <c r="Y26" i="1" l="1"/>
  <c r="Y20" i="1"/>
  <c r="Y22" i="1"/>
  <c r="Y24" i="1"/>
  <c r="W13" i="1"/>
  <c r="X13" i="1"/>
  <c r="AA13" i="1"/>
  <c r="W19" i="1"/>
  <c r="X19" i="1"/>
  <c r="AA19" i="1"/>
  <c r="AH19" i="1"/>
  <c r="AH13" i="1"/>
  <c r="AE13" i="1"/>
  <c r="AE14" i="1"/>
  <c r="AE15" i="1"/>
  <c r="AE16" i="1"/>
  <c r="AE17" i="1"/>
  <c r="AE18" i="1"/>
  <c r="AE19" i="1"/>
  <c r="AE20" i="1"/>
  <c r="R19" i="1"/>
  <c r="R13" i="1"/>
  <c r="N19" i="1"/>
  <c r="G19" i="1"/>
  <c r="N17" i="1"/>
  <c r="N16" i="1"/>
  <c r="N15" i="1"/>
  <c r="N14" i="1"/>
  <c r="N13" i="1"/>
  <c r="Y13" i="1" l="1"/>
  <c r="Y19" i="1"/>
  <c r="X12" i="1"/>
  <c r="AA12" i="1"/>
  <c r="W12" i="1"/>
  <c r="X11" i="1"/>
  <c r="AA11" i="1"/>
  <c r="W11" i="1"/>
  <c r="AH12" i="1"/>
  <c r="AE12" i="1"/>
  <c r="R12" i="1"/>
  <c r="N12" i="1"/>
  <c r="AH11" i="1"/>
  <c r="R11" i="1"/>
  <c r="AE11" i="1"/>
  <c r="N11" i="1"/>
  <c r="W6" i="1"/>
  <c r="X6" i="1"/>
  <c r="AA6" i="1"/>
  <c r="G6" i="1"/>
  <c r="AE6" i="1"/>
  <c r="AH6" i="1"/>
  <c r="N6" i="1"/>
  <c r="R6" i="1"/>
  <c r="W5" i="1"/>
  <c r="X5" i="1"/>
  <c r="AA5" i="1"/>
  <c r="AH10" i="1"/>
  <c r="AA4" i="1"/>
  <c r="W4" i="1"/>
  <c r="X4" i="1"/>
  <c r="AA2" i="1"/>
  <c r="W2" i="1"/>
  <c r="X2" i="1"/>
  <c r="R2" i="1"/>
  <c r="R4" i="1"/>
  <c r="R5" i="1"/>
  <c r="R7" i="1"/>
  <c r="AH2" i="1"/>
  <c r="AH4" i="1"/>
  <c r="AH5" i="1"/>
  <c r="AH7" i="1"/>
  <c r="AE2" i="1"/>
  <c r="AE3" i="1"/>
  <c r="AE4" i="1"/>
  <c r="AE5" i="1"/>
  <c r="AE7" i="1"/>
  <c r="N3" i="1"/>
  <c r="N4" i="1"/>
  <c r="N5" i="1"/>
  <c r="N7" i="1"/>
  <c r="G2" i="1"/>
  <c r="G3" i="1"/>
  <c r="G4" i="1"/>
  <c r="G5" i="1"/>
  <c r="Y2" i="1" l="1"/>
  <c r="Y5" i="1"/>
  <c r="Y6" i="1"/>
  <c r="Y11" i="1"/>
  <c r="Y4" i="1"/>
  <c r="Y12" i="1"/>
  <c r="AA10" i="1"/>
  <c r="X10" i="1"/>
  <c r="W10" i="1"/>
  <c r="AE10" i="1"/>
  <c r="R10" i="1"/>
  <c r="N10" i="1"/>
  <c r="AA8" i="1"/>
  <c r="X8" i="1"/>
  <c r="W8" i="1"/>
  <c r="R8" i="1"/>
  <c r="AH8" i="1"/>
  <c r="AE8" i="1"/>
  <c r="AE9" i="1"/>
  <c r="N9" i="1"/>
  <c r="N8" i="1"/>
  <c r="X7" i="1"/>
  <c r="W7" i="1"/>
  <c r="G8" i="1"/>
  <c r="G10" i="1"/>
  <c r="G11" i="1"/>
  <c r="G12" i="1"/>
  <c r="G13" i="1"/>
  <c r="G20" i="1"/>
  <c r="G22" i="1"/>
  <c r="G26" i="1"/>
  <c r="G28" i="1"/>
  <c r="G29" i="1"/>
  <c r="G30" i="1"/>
  <c r="G31" i="1"/>
  <c r="G32" i="1"/>
  <c r="G35" i="1"/>
  <c r="G36" i="1"/>
  <c r="G37" i="1"/>
  <c r="G38" i="1"/>
  <c r="G39" i="1"/>
  <c r="G40" i="1"/>
  <c r="G42" i="1"/>
  <c r="G43" i="1"/>
  <c r="G44" i="1"/>
  <c r="G45" i="1"/>
  <c r="G47" i="1"/>
  <c r="G48" i="1"/>
  <c r="G49" i="1"/>
  <c r="G50" i="1"/>
  <c r="G52" i="1"/>
  <c r="G53" i="1"/>
  <c r="G54" i="1"/>
  <c r="G56" i="1"/>
  <c r="G57" i="1"/>
  <c r="G60" i="1"/>
  <c r="G63" i="1"/>
  <c r="G65" i="1"/>
  <c r="G66" i="1"/>
  <c r="G67" i="1"/>
  <c r="G70" i="1"/>
  <c r="G71" i="1"/>
  <c r="G72" i="1"/>
  <c r="G74" i="1"/>
  <c r="G77" i="1"/>
  <c r="G79" i="1"/>
  <c r="G80" i="1"/>
  <c r="G83" i="1"/>
  <c r="G84" i="1"/>
  <c r="G87" i="1"/>
  <c r="G88" i="1"/>
  <c r="G89" i="1"/>
  <c r="G90" i="1"/>
  <c r="G91" i="1"/>
  <c r="G92" i="1"/>
  <c r="G93" i="1"/>
  <c r="G94" i="1"/>
  <c r="G95" i="1"/>
  <c r="G96" i="1"/>
  <c r="G98" i="1"/>
  <c r="G99" i="1"/>
  <c r="G100" i="1"/>
  <c r="G101" i="1"/>
  <c r="G102" i="1"/>
  <c r="G7" i="1"/>
  <c r="Y10" i="1" l="1"/>
  <c r="Y7" i="1"/>
  <c r="Y8" i="1"/>
  <c r="AA7" i="1"/>
</calcChain>
</file>

<file path=xl/sharedStrings.xml><?xml version="1.0" encoding="utf-8"?>
<sst xmlns="http://schemas.openxmlformats.org/spreadsheetml/2006/main" count="325" uniqueCount="297">
  <si>
    <t>sample_period</t>
  </si>
  <si>
    <t>date</t>
  </si>
  <si>
    <t>n_predator</t>
  </si>
  <si>
    <t>attack_predator</t>
  </si>
  <si>
    <t>sp_predator</t>
  </si>
  <si>
    <t>attack_duration</t>
  </si>
  <si>
    <t>shoal_behaviour</t>
  </si>
  <si>
    <t>shoal_behaviour_duration</t>
  </si>
  <si>
    <t>shoal_size(pre)</t>
  </si>
  <si>
    <t>shoal_area(pre)</t>
  </si>
  <si>
    <t>shoal_area(post)</t>
  </si>
  <si>
    <t>pre_end</t>
  </si>
  <si>
    <t>pre_start</t>
  </si>
  <si>
    <t>attack_start</t>
  </si>
  <si>
    <t>attack_end</t>
  </si>
  <si>
    <t>n_attack</t>
  </si>
  <si>
    <t>foraging_rate</t>
  </si>
  <si>
    <t>shoal_density(pre)</t>
  </si>
  <si>
    <t>shoal_area_response</t>
  </si>
  <si>
    <t>shoal_behaviour_start</t>
  </si>
  <si>
    <t>shoal_behaviour_end</t>
  </si>
  <si>
    <t>n_switch</t>
  </si>
  <si>
    <t>switch_rate</t>
  </si>
  <si>
    <t>pre_duration(s)</t>
  </si>
  <si>
    <t>size_pred(cm)</t>
  </si>
  <si>
    <t>shoal_size(post)</t>
  </si>
  <si>
    <t>shoal_density(post)</t>
  </si>
  <si>
    <t>file</t>
  </si>
  <si>
    <t>2018-10-24_070001_HF</t>
  </si>
  <si>
    <t>2018-10-24_071000_HF</t>
  </si>
  <si>
    <t>2018-10-23_080001_HF</t>
  </si>
  <si>
    <t>PRE_id</t>
  </si>
  <si>
    <t>2410_1</t>
  </si>
  <si>
    <t>2410_2</t>
  </si>
  <si>
    <t>2410_3</t>
  </si>
  <si>
    <t>2310_1</t>
  </si>
  <si>
    <t>2018-10-23_081000_HF</t>
  </si>
  <si>
    <t>2310_2</t>
  </si>
  <si>
    <t>2018-10-23_163000_HF</t>
  </si>
  <si>
    <t>2310_3</t>
  </si>
  <si>
    <t>2018-10-23_164000_HF</t>
  </si>
  <si>
    <t>2310_4</t>
  </si>
  <si>
    <t>2018-10-24_080001_HF</t>
  </si>
  <si>
    <t>2410_4</t>
  </si>
  <si>
    <t>2410_5</t>
  </si>
  <si>
    <t>2018-10-24_130001_HF</t>
  </si>
  <si>
    <t>2410_6</t>
  </si>
  <si>
    <t>2410_7</t>
  </si>
  <si>
    <t>2018-10-25_073000_HF</t>
  </si>
  <si>
    <t>2510_1</t>
  </si>
  <si>
    <t>2510_2</t>
  </si>
  <si>
    <t>2510_3</t>
  </si>
  <si>
    <t>2018-10-25_074000_HF</t>
  </si>
  <si>
    <t>2510_4</t>
  </si>
  <si>
    <t>2018-10-25_170001_HF</t>
  </si>
  <si>
    <t>2018-10-26_123000_HF</t>
  </si>
  <si>
    <t>2610_1</t>
  </si>
  <si>
    <t>2710_1</t>
  </si>
  <si>
    <t>2710_2</t>
  </si>
  <si>
    <t>2018-10-27_063000_HF</t>
  </si>
  <si>
    <t>2810_1</t>
  </si>
  <si>
    <t>2018-10-28_063000_HF</t>
  </si>
  <si>
    <t>2810_2</t>
  </si>
  <si>
    <t>2810_3</t>
  </si>
  <si>
    <t>2018-10-28_065000_HF</t>
  </si>
  <si>
    <t>2018-10-28_171000_HF</t>
  </si>
  <si>
    <t>2810_4</t>
  </si>
  <si>
    <t>2810_5</t>
  </si>
  <si>
    <t>2810_6</t>
  </si>
  <si>
    <t>2018-10-28_172000_HF</t>
  </si>
  <si>
    <t>2018-10-29_063000_HF</t>
  </si>
  <si>
    <t>2910_1</t>
  </si>
  <si>
    <t>2910_2</t>
  </si>
  <si>
    <t>2018-10-29_070001_HF</t>
  </si>
  <si>
    <t>2018-10-29_113000_HF</t>
  </si>
  <si>
    <t>2910_3</t>
  </si>
  <si>
    <t>2910_4</t>
  </si>
  <si>
    <t>2018-10-29_114000_HF</t>
  </si>
  <si>
    <t>2018-10-29_153000_HF</t>
  </si>
  <si>
    <t>2910_5</t>
  </si>
  <si>
    <t>2910_6</t>
  </si>
  <si>
    <t>2018-10-29_154000_HF</t>
  </si>
  <si>
    <t>2910_9</t>
  </si>
  <si>
    <t>2018-10-29_161000_HF</t>
  </si>
  <si>
    <t>2018-11-24_114000_HF</t>
  </si>
  <si>
    <t>2411_1</t>
  </si>
  <si>
    <t>2018-11-24_132000_HF</t>
  </si>
  <si>
    <t>2411_2</t>
  </si>
  <si>
    <t>2411_3</t>
  </si>
  <si>
    <t>2018-11-24_154000_HF</t>
  </si>
  <si>
    <t>2511_1</t>
  </si>
  <si>
    <t>2018-11-25_070001_HF</t>
  </si>
  <si>
    <t>2511_2</t>
  </si>
  <si>
    <t>2511_3</t>
  </si>
  <si>
    <t>2018-11-25_074000_HF</t>
  </si>
  <si>
    <t>2018-11-25_075000_HF</t>
  </si>
  <si>
    <t>2511_4</t>
  </si>
  <si>
    <t>2511_5</t>
  </si>
  <si>
    <t>2511_6</t>
  </si>
  <si>
    <t>2018-11-25_080001_HF</t>
  </si>
  <si>
    <t>2511_7</t>
  </si>
  <si>
    <t>2018-11-25_130001_HF</t>
  </si>
  <si>
    <t>2511_8</t>
  </si>
  <si>
    <t>2018-11-25_132000_HF</t>
  </si>
  <si>
    <t>2018-11-25_131000_HF</t>
  </si>
  <si>
    <t>2511_9</t>
  </si>
  <si>
    <t>2018-11-25_154000_HF</t>
  </si>
  <si>
    <t>2511_10</t>
  </si>
  <si>
    <t>2018-11-26_070001_HF</t>
  </si>
  <si>
    <t>2511_11</t>
  </si>
  <si>
    <t>2611_1</t>
  </si>
  <si>
    <t>2018-11-26_071000_HF</t>
  </si>
  <si>
    <t>2611_2</t>
  </si>
  <si>
    <t>2018-11-26_073000_HF</t>
  </si>
  <si>
    <t>2611_3</t>
  </si>
  <si>
    <t>2611_4</t>
  </si>
  <si>
    <t>2018-11-26_154000_HF</t>
  </si>
  <si>
    <t>2611_5</t>
  </si>
  <si>
    <t>2811_1</t>
  </si>
  <si>
    <t>2018-11-28_153000_HF</t>
  </si>
  <si>
    <t>2018-11-28_154000_HF</t>
  </si>
  <si>
    <t>2811_2</t>
  </si>
  <si>
    <t>2811_3</t>
  </si>
  <si>
    <t>2018-11-28_155000_HF</t>
  </si>
  <si>
    <t>2811_4</t>
  </si>
  <si>
    <t>2811_5</t>
  </si>
  <si>
    <t>2018-11-28_161000_HF</t>
  </si>
  <si>
    <t>2811_6</t>
  </si>
  <si>
    <t>2018-11-28_235000_HF</t>
  </si>
  <si>
    <t>2018-11-29_001000_HF</t>
  </si>
  <si>
    <t>2811_7</t>
  </si>
  <si>
    <t>2811_8</t>
  </si>
  <si>
    <t>2018-11-29_002000_HF</t>
  </si>
  <si>
    <t>2018-11-29_064000_HF</t>
  </si>
  <si>
    <t>2911_1</t>
  </si>
  <si>
    <t>2018-11-29_071000_HF</t>
  </si>
  <si>
    <t>2911_2</t>
  </si>
  <si>
    <t>2911_3</t>
  </si>
  <si>
    <t>2018-11-29_073000_HF</t>
  </si>
  <si>
    <t>2911_4</t>
  </si>
  <si>
    <t>2018-11-29_075000_HF</t>
  </si>
  <si>
    <t>2911_5</t>
  </si>
  <si>
    <t>2911_6</t>
  </si>
  <si>
    <t>2018-11-29_080001_HF</t>
  </si>
  <si>
    <t>2018-11-29_082000_HF</t>
  </si>
  <si>
    <t>2911_7</t>
  </si>
  <si>
    <t>2018-11-29_121000_HF</t>
  </si>
  <si>
    <t>2911_8</t>
  </si>
  <si>
    <t>2911_9</t>
  </si>
  <si>
    <t>2018-11-29_123000_HF</t>
  </si>
  <si>
    <t>2911_10</t>
  </si>
  <si>
    <t>2018-11-29_131000_HF</t>
  </si>
  <si>
    <t>2911_11</t>
  </si>
  <si>
    <t>2911_12</t>
  </si>
  <si>
    <t>2018-11-29_153000_HF</t>
  </si>
  <si>
    <t>2018-12-23_075000_HF</t>
  </si>
  <si>
    <t>2312_1</t>
  </si>
  <si>
    <t>2312_2</t>
  </si>
  <si>
    <t>2312_3</t>
  </si>
  <si>
    <t>2018-12-23_081000_HF</t>
  </si>
  <si>
    <t>2018-12-23_082000_HF</t>
  </si>
  <si>
    <t>2312_4</t>
  </si>
  <si>
    <t>2018-12-23_113000_HF</t>
  </si>
  <si>
    <t>2312_5</t>
  </si>
  <si>
    <t>2312_6</t>
  </si>
  <si>
    <t>2018-12-23_162000_HF</t>
  </si>
  <si>
    <t>2312_7</t>
  </si>
  <si>
    <t>2018-12-23_164000_HF</t>
  </si>
  <si>
    <t>2018-12-24_153000_HF</t>
  </si>
  <si>
    <t>2412_1</t>
  </si>
  <si>
    <t>2018-12-24_154000_HF</t>
  </si>
  <si>
    <t>2412_2</t>
  </si>
  <si>
    <t>2018-12-24_160001_HF</t>
  </si>
  <si>
    <t>2412_3</t>
  </si>
  <si>
    <t>2412_4</t>
  </si>
  <si>
    <t>2018-12-24_161000_HF</t>
  </si>
  <si>
    <t>2412_5</t>
  </si>
  <si>
    <t>2412_6</t>
  </si>
  <si>
    <t>2018-12-25_001000_HF</t>
  </si>
  <si>
    <t>2018-12-25_005000_HF</t>
  </si>
  <si>
    <t>2412_7</t>
  </si>
  <si>
    <t>2018-12-25_010001_HF</t>
  </si>
  <si>
    <t>2412_8</t>
  </si>
  <si>
    <t>2018-12-25_012000_HF</t>
  </si>
  <si>
    <t>2412_9</t>
  </si>
  <si>
    <t>2512_1</t>
  </si>
  <si>
    <t>2018-12-25_063000_HF</t>
  </si>
  <si>
    <t>2018-12-25_064000_HF</t>
  </si>
  <si>
    <t>2512_2</t>
  </si>
  <si>
    <t>2512_3</t>
  </si>
  <si>
    <t>2512_4</t>
  </si>
  <si>
    <t>2018-12-25_065000_HF</t>
  </si>
  <si>
    <t>2018-12-25_071000_HF</t>
  </si>
  <si>
    <t>2512_5</t>
  </si>
  <si>
    <t>2018-12-25_072000_HF</t>
  </si>
  <si>
    <t>2512_6</t>
  </si>
  <si>
    <t>2018-12-25_073000_HF</t>
  </si>
  <si>
    <t>2512_7</t>
  </si>
  <si>
    <t>2512_8</t>
  </si>
  <si>
    <t>2018-12-25_074000_HF</t>
  </si>
  <si>
    <t>2512_9</t>
  </si>
  <si>
    <t>2018-12-25_075000_HF</t>
  </si>
  <si>
    <t>2512_10</t>
  </si>
  <si>
    <t>2512_11</t>
  </si>
  <si>
    <t>2018-12-25_080001_HF</t>
  </si>
  <si>
    <t>2512_12</t>
  </si>
  <si>
    <t>2512_13</t>
  </si>
  <si>
    <t>2512_14</t>
  </si>
  <si>
    <t>2018-12-25_081000_HF</t>
  </si>
  <si>
    <t>2018-12-25_082000_HF</t>
  </si>
  <si>
    <t>2512_15</t>
  </si>
  <si>
    <t>2018-12-25_154000_HF</t>
  </si>
  <si>
    <t>2512_16</t>
  </si>
  <si>
    <t>2512_17</t>
  </si>
  <si>
    <t>2018-12-25_233000_HF</t>
  </si>
  <si>
    <t>2512_18</t>
  </si>
  <si>
    <t>2018-12-25_234000_HF</t>
  </si>
  <si>
    <t>2512_19</t>
  </si>
  <si>
    <t>2018-12-26_000001_HF</t>
  </si>
  <si>
    <t>2512_20</t>
  </si>
  <si>
    <t>2018-12-26_010001_HF</t>
  </si>
  <si>
    <t>2512_21</t>
  </si>
  <si>
    <t>2612_1</t>
  </si>
  <si>
    <t>2018-12-26_074000_HF</t>
  </si>
  <si>
    <t>2612_2</t>
  </si>
  <si>
    <t>2018-12-26_075000_HF</t>
  </si>
  <si>
    <t>2612_3</t>
  </si>
  <si>
    <t>2612_4</t>
  </si>
  <si>
    <t>2018-12-26_080001_HF</t>
  </si>
  <si>
    <t>2018-12-26_155000_HF</t>
  </si>
  <si>
    <t>2018-12-26_172000_HF</t>
  </si>
  <si>
    <t>2612_5</t>
  </si>
  <si>
    <t>2018-12-26_233000_HF</t>
  </si>
  <si>
    <t>2612_6</t>
  </si>
  <si>
    <t>2018-12-27_002000_HF</t>
  </si>
  <si>
    <t>2612_7</t>
  </si>
  <si>
    <t>2018-12-27_072000_HF</t>
  </si>
  <si>
    <t>2712_1</t>
  </si>
  <si>
    <t>2712_2</t>
  </si>
  <si>
    <t>2018-12-27_073000_HF</t>
  </si>
  <si>
    <t>2712_3</t>
  </si>
  <si>
    <t>2018-12-27_080001_HF</t>
  </si>
  <si>
    <t>2712_4</t>
  </si>
  <si>
    <t>2712_5</t>
  </si>
  <si>
    <t>2018-12-27_081000_HF</t>
  </si>
  <si>
    <t>2712_6</t>
  </si>
  <si>
    <t>2018-12-27_124000_HF</t>
  </si>
  <si>
    <t>2712_7</t>
  </si>
  <si>
    <t>2018-12-27_155000_HF</t>
  </si>
  <si>
    <t>2712_8</t>
  </si>
  <si>
    <t>2018-12-27_160001_HF</t>
  </si>
  <si>
    <t>2712_9</t>
  </si>
  <si>
    <t>2018-12-27_161000_HF</t>
  </si>
  <si>
    <t>2018-12-28_070001_HF</t>
  </si>
  <si>
    <t>2812_1</t>
  </si>
  <si>
    <t>2812_2</t>
  </si>
  <si>
    <t>2018-12-28_072000_HF</t>
  </si>
  <si>
    <t>2018-12-28_073000_HF</t>
  </si>
  <si>
    <t>2812_3</t>
  </si>
  <si>
    <t>2018-12-28_074000_HF</t>
  </si>
  <si>
    <t>2812_4</t>
  </si>
  <si>
    <t>2812_5</t>
  </si>
  <si>
    <t>2812_6</t>
  </si>
  <si>
    <t>2018-12-28_075000_HF</t>
  </si>
  <si>
    <t>2812_7</t>
  </si>
  <si>
    <t>2812_8</t>
  </si>
  <si>
    <t>2018-12-28_080001_HF</t>
  </si>
  <si>
    <t>2812_9</t>
  </si>
  <si>
    <t>2018-12-28_081000_HF</t>
  </si>
  <si>
    <t>2018-12-28_123000_HF</t>
  </si>
  <si>
    <t>2812_10</t>
  </si>
  <si>
    <t>2018-12-28_125000_HF</t>
  </si>
  <si>
    <t>2812_11</t>
  </si>
  <si>
    <t>2812_12</t>
  </si>
  <si>
    <t>2018-12-28_132000_HF</t>
  </si>
  <si>
    <t>2812_13</t>
  </si>
  <si>
    <t>2812_14</t>
  </si>
  <si>
    <t>2018-12-28_154000_HF</t>
  </si>
  <si>
    <t>2812_15</t>
  </si>
  <si>
    <t>2018-12-28_160001_HF</t>
  </si>
  <si>
    <t>2812_16</t>
  </si>
  <si>
    <t>2018-12-28_161000_HF</t>
  </si>
  <si>
    <t>2816_17</t>
  </si>
  <si>
    <t>2018-12-28_162000_HF</t>
  </si>
  <si>
    <t>2816_18</t>
  </si>
  <si>
    <t>2018-12-29_154000_HF</t>
  </si>
  <si>
    <t>2912_1</t>
  </si>
  <si>
    <t>2912_2</t>
  </si>
  <si>
    <t>2018-12-29_155000_HF</t>
  </si>
  <si>
    <t>2018-12-29_160001_HF</t>
  </si>
  <si>
    <t>2912_3</t>
  </si>
  <si>
    <t>2912_4</t>
  </si>
  <si>
    <t>2912_5</t>
  </si>
  <si>
    <t>2018-12-29_162000_HF</t>
  </si>
  <si>
    <t>2912_6</t>
  </si>
  <si>
    <t>attack_in_pre</t>
  </si>
  <si>
    <t>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</si>
</sst>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4" borderId="0" xfId="0" applyFont="1" applyFill="1" applyAlignment="1">
      <alignment wrapText="1"/>
    </xf>
    <xf numFmtId="0" fontId="0" fillId="3" borderId="0" xfId="0" applyFill="1"/>
    <xf numFmtId="0" fontId="0" fillId="2" borderId="0" xfId="0" applyFill="1"/>
    <xf numFmtId="0" fontId="0" fillId="5" borderId="0" xfId="0" applyFill="1"/>
    <xf numFmtId="0" fontId="1" fillId="4" borderId="1" xfId="0" applyFont="1" applyFill="1" applyBorder="1" applyAlignment="1">
      <alignment wrapText="1"/>
    </xf>
    <xf numFmtId="0" fontId="0" fillId="2" borderId="1" xfId="0" applyFill="1" applyBorder="1"/>
    <xf numFmtId="0" fontId="0" fillId="3" borderId="1" xfId="0" applyFill="1" applyBorder="1"/>
    <xf numFmtId="164" fontId="0" fillId="2" borderId="0" xfId="0" applyNumberFormat="1" applyFill="1"/>
    <xf numFmtId="14" fontId="0" fillId="2" borderId="0" xfId="0" applyNumberFormat="1" applyFill="1"/>
    <xf numFmtId="164" fontId="0" fillId="3" borderId="0" xfId="0" applyNumberFormat="1" applyFill="1"/>
    <xf numFmtId="164" fontId="0" fillId="5" borderId="0" xfId="0" applyNumberFormat="1" applyFill="1"/>
    <xf numFmtId="0" fontId="0" fillId="6" borderId="0" xfId="0" applyFill="1"/>
    <xf numFmtId="0" fontId="0" fillId="3" borderId="0" xfId="0" applyNumberFormat="1" applyFill="1"/>
    <xf numFmtId="21" fontId="0" fillId="3" borderId="0" xfId="0" applyNumberFormat="1" applyFill="1"/>
    <xf numFmtId="21" fontId="0" fillId="2" borderId="0" xfId="0" applyNumberFormat="1" applyFill="1"/>
    <xf numFmtId="0" fontId="0" fillId="0" borderId="0" xfId="0" applyFill="1" applyBorder="1"/>
    <xf numFmtId="14" fontId="0" fillId="0" borderId="0" xfId="0" applyNumberFormat="1" applyFill="1" applyBorder="1"/>
    <xf numFmtId="164" fontId="0" fillId="0" borderId="0" xfId="0" applyNumberFormat="1" applyFill="1" applyBorder="1"/>
    <xf numFmtId="0" fontId="0" fillId="5" borderId="0" xfId="0" applyFill="1" applyBorder="1"/>
  </cellXfs>
  <cellStyles count="1">
    <cellStyle name="Normal" xfId="0" builtinId="0"/>
  </cellStyles>
  <dxfs count="1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233"/>
  <sheetViews>
    <sheetView tabSelected="1" zoomScaleNormal="100" workbookViewId="0">
      <pane ySplit="1" topLeftCell="A2" activePane="bottomLeft" state="frozen"/>
      <selection activeCell="B1" sqref="B1"/>
      <selection pane="bottomLeft" activeCell="H224" sqref="H224"/>
    </sheetView>
  </sheetViews>
  <sheetFormatPr defaultRowHeight="15" x14ac:dyDescent="0.25"/>
  <cols>
    <col min="1" max="1" width="21.140625" customWidth="1"/>
    <col min="2" max="2" width="12" customWidth="1"/>
    <col min="23" max="23" width="12.5703125" customWidth="1"/>
    <col min="24" max="24" width="12.28515625" customWidth="1"/>
    <col min="25" max="26" width="9" customWidth="1"/>
  </cols>
  <sheetData>
    <row r="1" spans="1:34" ht="45" x14ac:dyDescent="0.25">
      <c r="A1" s="12" t="s">
        <v>27</v>
      </c>
      <c r="B1" s="1" t="s">
        <v>1</v>
      </c>
      <c r="C1" s="1" t="s">
        <v>0</v>
      </c>
      <c r="D1" s="1" t="s">
        <v>31</v>
      </c>
      <c r="E1" s="1" t="s">
        <v>12</v>
      </c>
      <c r="F1" s="1" t="s">
        <v>11</v>
      </c>
      <c r="G1" s="5" t="s">
        <v>23</v>
      </c>
      <c r="H1" s="1" t="s">
        <v>4</v>
      </c>
      <c r="I1" s="1" t="s">
        <v>2</v>
      </c>
      <c r="J1" s="1" t="s">
        <v>24</v>
      </c>
      <c r="K1" s="1" t="s">
        <v>3</v>
      </c>
      <c r="L1" s="1" t="s">
        <v>13</v>
      </c>
      <c r="M1" s="1" t="s">
        <v>14</v>
      </c>
      <c r="N1" s="1" t="s">
        <v>5</v>
      </c>
      <c r="O1" s="1" t="s">
        <v>295</v>
      </c>
      <c r="P1" s="1" t="s">
        <v>296</v>
      </c>
      <c r="Q1" s="1" t="s">
        <v>15</v>
      </c>
      <c r="R1" s="5" t="s">
        <v>16</v>
      </c>
      <c r="S1" s="1" t="s">
        <v>8</v>
      </c>
      <c r="T1" s="1" t="s">
        <v>25</v>
      </c>
      <c r="U1" s="1" t="s">
        <v>9</v>
      </c>
      <c r="V1" s="1" t="s">
        <v>10</v>
      </c>
      <c r="W1" s="1" t="s">
        <v>17</v>
      </c>
      <c r="X1" s="1" t="s">
        <v>26</v>
      </c>
      <c r="Y1" s="1"/>
      <c r="Z1" s="1"/>
      <c r="AA1" s="1" t="s">
        <v>18</v>
      </c>
      <c r="AB1" s="1" t="s">
        <v>6</v>
      </c>
      <c r="AC1" s="1" t="s">
        <v>19</v>
      </c>
      <c r="AD1" s="1" t="s">
        <v>20</v>
      </c>
      <c r="AE1" s="1" t="s">
        <v>7</v>
      </c>
      <c r="AF1" s="1"/>
      <c r="AG1" s="1" t="s">
        <v>21</v>
      </c>
      <c r="AH1" s="1" t="s">
        <v>22</v>
      </c>
    </row>
    <row r="2" spans="1:34" x14ac:dyDescent="0.25">
      <c r="A2" s="3" t="s">
        <v>30</v>
      </c>
      <c r="B2" s="9">
        <v>43396</v>
      </c>
      <c r="C2" s="3">
        <v>1</v>
      </c>
      <c r="D2" s="3" t="s">
        <v>35</v>
      </c>
      <c r="E2" s="8">
        <v>0.3352430555555555</v>
      </c>
      <c r="F2" s="8">
        <v>0.33568287037037042</v>
      </c>
      <c r="G2" s="6">
        <f t="shared" ref="G2:G6" si="0">(F2-E2)*86400</f>
        <v>38.000000000009138</v>
      </c>
      <c r="H2" s="2">
        <v>1</v>
      </c>
      <c r="I2" s="2">
        <v>1</v>
      </c>
      <c r="J2" s="2">
        <v>72</v>
      </c>
      <c r="K2" s="2">
        <v>1</v>
      </c>
      <c r="L2" s="10">
        <v>0.3352430555555555</v>
      </c>
      <c r="M2" s="10">
        <v>0.33533564814814815</v>
      </c>
      <c r="N2" s="2">
        <f>(M2-L2)*86400</f>
        <v>8.000000000004448</v>
      </c>
      <c r="O2" s="2"/>
      <c r="P2" s="13">
        <f>(L2-E2)*86400</f>
        <v>0</v>
      </c>
      <c r="Q2" s="2">
        <v>2</v>
      </c>
      <c r="R2" s="7">
        <f t="shared" ref="R2:R7" si="1">Q2/0.6</f>
        <v>3.3333333333333335</v>
      </c>
      <c r="S2" s="4">
        <v>288</v>
      </c>
      <c r="T2" s="4">
        <v>431</v>
      </c>
      <c r="U2" s="4">
        <v>8.2200000000000006</v>
      </c>
      <c r="V2" s="4">
        <v>11.86</v>
      </c>
      <c r="W2" s="4">
        <f t="shared" ref="W2" si="2">S2/U2</f>
        <v>35.036496350364963</v>
      </c>
      <c r="X2" s="4">
        <f t="shared" ref="X2" si="3">T2/V2</f>
        <v>36.340640809443506</v>
      </c>
      <c r="Y2" s="4">
        <f>X2-W2</f>
        <v>1.3041444590785432</v>
      </c>
      <c r="Z2" s="4">
        <f>T2-S2</f>
        <v>143</v>
      </c>
      <c r="AA2" s="4">
        <f t="shared" ref="AA2" si="4">V2-U2</f>
        <v>3.6399999999999988</v>
      </c>
      <c r="AB2" s="4">
        <v>2</v>
      </c>
      <c r="AC2" s="11">
        <v>0.3352430555555555</v>
      </c>
      <c r="AD2" s="11">
        <v>0.33538194444444441</v>
      </c>
      <c r="AE2" s="4">
        <f t="shared" ref="AE2:AE7" si="5">(AD2-AC2)*86400</f>
        <v>12.000000000001876</v>
      </c>
      <c r="AF2" s="4">
        <f>(AD3-M3)*86400</f>
        <v>10.000000000003162</v>
      </c>
      <c r="AG2" s="4">
        <v>2</v>
      </c>
      <c r="AH2" s="4">
        <f t="shared" ref="AH2:AH7" si="6">AG2/0.6</f>
        <v>3.3333333333333335</v>
      </c>
    </row>
    <row r="3" spans="1:34" x14ac:dyDescent="0.25">
      <c r="A3" s="3"/>
      <c r="B3" s="9">
        <v>43396</v>
      </c>
      <c r="C3" s="3">
        <v>1</v>
      </c>
      <c r="D3" s="3"/>
      <c r="E3" s="8"/>
      <c r="F3" s="8"/>
      <c r="G3" s="6">
        <f t="shared" si="0"/>
        <v>0</v>
      </c>
      <c r="H3" s="2">
        <v>1</v>
      </c>
      <c r="I3" s="2"/>
      <c r="J3" s="2"/>
      <c r="K3" s="2">
        <v>1</v>
      </c>
      <c r="L3" s="10">
        <v>0.33549768518518519</v>
      </c>
      <c r="M3" s="10">
        <v>0.33556712962962965</v>
      </c>
      <c r="N3" s="2">
        <f t="shared" ref="N3:N7" si="7">(M3-L3)*86400</f>
        <v>6.0000000000009379</v>
      </c>
      <c r="O3" s="2"/>
      <c r="P3" s="2"/>
      <c r="Q3" s="2"/>
      <c r="R3" s="7"/>
      <c r="S3" s="4">
        <v>233</v>
      </c>
      <c r="T3" s="4">
        <v>226</v>
      </c>
      <c r="U3" s="4">
        <v>9.83</v>
      </c>
      <c r="V3" s="4">
        <v>6.39</v>
      </c>
      <c r="W3" s="4">
        <f t="shared" ref="W3" si="8">S3/U3</f>
        <v>23.702950152594099</v>
      </c>
      <c r="X3" s="4">
        <f t="shared" ref="X3" si="9">T3/V3</f>
        <v>35.367762128325509</v>
      </c>
      <c r="Y3" s="4">
        <f>X3-W3</f>
        <v>11.664811975731411</v>
      </c>
      <c r="Z3" s="4"/>
      <c r="AA3" s="4">
        <f t="shared" ref="AA3" si="10">V3-U3</f>
        <v>-3.4400000000000004</v>
      </c>
      <c r="AB3" s="4">
        <v>3</v>
      </c>
      <c r="AC3" s="11">
        <v>0.33549768518518519</v>
      </c>
      <c r="AD3" s="11">
        <v>0.33568287037037042</v>
      </c>
      <c r="AE3" s="4">
        <f t="shared" si="5"/>
        <v>16.0000000000041</v>
      </c>
      <c r="AF3" s="4"/>
      <c r="AG3" s="4"/>
      <c r="AH3" s="4"/>
    </row>
    <row r="4" spans="1:34" x14ac:dyDescent="0.25">
      <c r="A4" s="3" t="s">
        <v>36</v>
      </c>
      <c r="B4" s="9">
        <v>43396</v>
      </c>
      <c r="C4" s="3">
        <v>1</v>
      </c>
      <c r="D4" s="3" t="s">
        <v>37</v>
      </c>
      <c r="E4" s="8">
        <v>0.34674768518518517</v>
      </c>
      <c r="F4" s="8">
        <v>0.34737268518518521</v>
      </c>
      <c r="G4" s="6">
        <f t="shared" si="0"/>
        <v>54.000000000003645</v>
      </c>
      <c r="H4" s="2">
        <v>2</v>
      </c>
      <c r="I4" s="2">
        <v>1</v>
      </c>
      <c r="J4" s="2">
        <v>83</v>
      </c>
      <c r="K4" s="2">
        <v>0</v>
      </c>
      <c r="L4" s="10"/>
      <c r="M4" s="10"/>
      <c r="N4" s="2">
        <f t="shared" si="7"/>
        <v>0</v>
      </c>
      <c r="O4" s="2"/>
      <c r="P4" s="13">
        <f t="shared" ref="P4:P8" si="11">(L4-E4)*86400</f>
        <v>-29959</v>
      </c>
      <c r="Q4" s="2">
        <v>0</v>
      </c>
      <c r="R4" s="7">
        <f t="shared" si="1"/>
        <v>0</v>
      </c>
      <c r="S4" s="4">
        <v>163</v>
      </c>
      <c r="T4" s="4">
        <v>321</v>
      </c>
      <c r="U4" s="4">
        <v>7.48</v>
      </c>
      <c r="V4" s="4">
        <v>11.98</v>
      </c>
      <c r="W4" s="4">
        <f t="shared" ref="W4" si="12">S4/U4</f>
        <v>21.791443850267378</v>
      </c>
      <c r="X4" s="4">
        <f t="shared" ref="X4" si="13">T4/V4</f>
        <v>26.794657762938229</v>
      </c>
      <c r="Y4" s="4">
        <f t="shared" ref="Y4:Y8" si="14">X4-W4</f>
        <v>5.0032139126708515</v>
      </c>
      <c r="Z4" s="4">
        <f t="shared" ref="Z4:Z8" si="15">T4-S4</f>
        <v>158</v>
      </c>
      <c r="AA4" s="4">
        <f t="shared" ref="AA4" si="16">V4-U4</f>
        <v>4.5</v>
      </c>
      <c r="AB4" s="4">
        <v>6</v>
      </c>
      <c r="AC4" s="11">
        <v>0.3468518518518518</v>
      </c>
      <c r="AD4" s="11">
        <v>0.34737268518518521</v>
      </c>
      <c r="AE4" s="4">
        <f t="shared" si="5"/>
        <v>45.000000000007034</v>
      </c>
      <c r="AF4" s="4">
        <f>(AD4-M4)*86400</f>
        <v>30013.000000000004</v>
      </c>
      <c r="AG4" s="4">
        <v>0</v>
      </c>
      <c r="AH4" s="4">
        <f t="shared" si="6"/>
        <v>0</v>
      </c>
    </row>
    <row r="5" spans="1:34" x14ac:dyDescent="0.25">
      <c r="A5" s="3" t="s">
        <v>38</v>
      </c>
      <c r="B5" s="9">
        <v>43396</v>
      </c>
      <c r="C5" s="3">
        <v>3</v>
      </c>
      <c r="D5" s="3" t="s">
        <v>39</v>
      </c>
      <c r="E5" s="8">
        <v>0.69090277777777775</v>
      </c>
      <c r="F5" s="8">
        <v>0.69148148148148147</v>
      </c>
      <c r="G5" s="6">
        <f t="shared" si="0"/>
        <v>50.000000000001421</v>
      </c>
      <c r="H5" s="2">
        <v>2</v>
      </c>
      <c r="I5" s="2">
        <v>1</v>
      </c>
      <c r="J5" s="2">
        <v>85</v>
      </c>
      <c r="K5" s="2">
        <v>0</v>
      </c>
      <c r="L5" s="10"/>
      <c r="M5" s="10"/>
      <c r="N5" s="2">
        <f t="shared" si="7"/>
        <v>0</v>
      </c>
      <c r="O5" s="2"/>
      <c r="P5" s="13">
        <f t="shared" si="11"/>
        <v>-59694</v>
      </c>
      <c r="Q5" s="2">
        <v>0</v>
      </c>
      <c r="R5" s="7">
        <f t="shared" si="1"/>
        <v>0</v>
      </c>
      <c r="S5" s="4">
        <v>122</v>
      </c>
      <c r="T5" s="4">
        <v>119</v>
      </c>
      <c r="U5" s="4">
        <v>7.87</v>
      </c>
      <c r="V5" s="4">
        <v>10.210000000000001</v>
      </c>
      <c r="W5" s="4">
        <f t="shared" ref="W5:X8" si="17">S5/U5</f>
        <v>15.501905972045742</v>
      </c>
      <c r="X5" s="4">
        <f t="shared" si="17"/>
        <v>11.655239960822723</v>
      </c>
      <c r="Y5" s="4">
        <f t="shared" si="14"/>
        <v>-3.8466660112230198</v>
      </c>
      <c r="Z5" s="4">
        <f t="shared" si="15"/>
        <v>-3</v>
      </c>
      <c r="AA5" s="4">
        <f>V5-U5</f>
        <v>2.3400000000000007</v>
      </c>
      <c r="AB5" s="4">
        <v>6</v>
      </c>
      <c r="AC5" s="11">
        <v>0.69090277777777775</v>
      </c>
      <c r="AD5" s="11">
        <v>0.69148148148148147</v>
      </c>
      <c r="AE5" s="4">
        <f t="shared" si="5"/>
        <v>50.000000000001421</v>
      </c>
      <c r="AF5" s="4">
        <f>(AD5-M5)*86400</f>
        <v>59744</v>
      </c>
      <c r="AG5" s="4">
        <v>0</v>
      </c>
      <c r="AH5" s="4">
        <f t="shared" si="6"/>
        <v>0</v>
      </c>
    </row>
    <row r="6" spans="1:34" x14ac:dyDescent="0.25">
      <c r="A6" s="3" t="s">
        <v>40</v>
      </c>
      <c r="B6" s="9">
        <v>43396</v>
      </c>
      <c r="C6" s="3">
        <v>3</v>
      </c>
      <c r="D6" s="3" t="s">
        <v>41</v>
      </c>
      <c r="E6" s="8">
        <v>0.69931712962962955</v>
      </c>
      <c r="F6" s="8">
        <v>0.69982638888888893</v>
      </c>
      <c r="G6" s="6">
        <f t="shared" si="0"/>
        <v>44.000000000010075</v>
      </c>
      <c r="H6" s="2">
        <v>2</v>
      </c>
      <c r="I6" s="2">
        <v>1</v>
      </c>
      <c r="J6" s="2">
        <v>92</v>
      </c>
      <c r="K6" s="2">
        <v>0</v>
      </c>
      <c r="L6" s="10"/>
      <c r="M6" s="10"/>
      <c r="N6" s="2">
        <f t="shared" ref="N6" si="18">(M6-L6)*86400</f>
        <v>0</v>
      </c>
      <c r="O6" s="2"/>
      <c r="P6" s="13">
        <f t="shared" si="11"/>
        <v>-60420.999999999993</v>
      </c>
      <c r="Q6" s="2">
        <v>0</v>
      </c>
      <c r="R6" s="7">
        <f t="shared" si="1"/>
        <v>0</v>
      </c>
      <c r="S6" s="4">
        <v>265</v>
      </c>
      <c r="T6" s="4">
        <v>438</v>
      </c>
      <c r="U6" s="4">
        <v>12.1</v>
      </c>
      <c r="V6" s="4">
        <v>13.29</v>
      </c>
      <c r="W6" s="4">
        <f t="shared" si="17"/>
        <v>21.900826446280991</v>
      </c>
      <c r="X6" s="4">
        <f t="shared" si="17"/>
        <v>32.957110609480814</v>
      </c>
      <c r="Y6" s="4">
        <f t="shared" si="14"/>
        <v>11.056284163199823</v>
      </c>
      <c r="Z6" s="4">
        <f t="shared" si="15"/>
        <v>173</v>
      </c>
      <c r="AA6" s="4">
        <f>V6-U6</f>
        <v>1.1899999999999995</v>
      </c>
      <c r="AB6" s="4">
        <v>6</v>
      </c>
      <c r="AC6" s="11">
        <v>0.69931712962962955</v>
      </c>
      <c r="AD6" s="11">
        <v>0.69982638888888893</v>
      </c>
      <c r="AE6" s="4">
        <f t="shared" si="5"/>
        <v>44.000000000010075</v>
      </c>
      <c r="AF6" s="4">
        <f>(AD6-M6)*86400</f>
        <v>60465</v>
      </c>
      <c r="AG6" s="4">
        <v>0</v>
      </c>
      <c r="AH6" s="4">
        <f t="shared" si="6"/>
        <v>0</v>
      </c>
    </row>
    <row r="7" spans="1:34" x14ac:dyDescent="0.25">
      <c r="A7" s="3" t="s">
        <v>28</v>
      </c>
      <c r="B7" s="9">
        <v>43397</v>
      </c>
      <c r="C7" s="3">
        <v>1</v>
      </c>
      <c r="D7" s="3" t="s">
        <v>32</v>
      </c>
      <c r="E7" s="8">
        <v>0.29298611111111111</v>
      </c>
      <c r="F7" s="8">
        <v>0.29370370370370369</v>
      </c>
      <c r="G7" s="6">
        <f>(F7-E7)*86400</f>
        <v>61.999999999998501</v>
      </c>
      <c r="H7" s="2">
        <v>2</v>
      </c>
      <c r="I7" s="2">
        <v>1</v>
      </c>
      <c r="J7" s="2">
        <v>114</v>
      </c>
      <c r="K7" s="2">
        <v>0</v>
      </c>
      <c r="L7" s="10"/>
      <c r="M7" s="10"/>
      <c r="N7" s="2">
        <f t="shared" si="7"/>
        <v>0</v>
      </c>
      <c r="O7" s="2"/>
      <c r="P7" s="13">
        <f t="shared" si="11"/>
        <v>-25314</v>
      </c>
      <c r="Q7" s="2">
        <v>0</v>
      </c>
      <c r="R7" s="7">
        <f t="shared" si="1"/>
        <v>0</v>
      </c>
      <c r="S7" s="4">
        <v>23</v>
      </c>
      <c r="T7" s="4">
        <v>33</v>
      </c>
      <c r="U7" s="4">
        <v>4.4800000000000004</v>
      </c>
      <c r="V7" s="4">
        <v>5.19</v>
      </c>
      <c r="W7" s="4">
        <f t="shared" si="17"/>
        <v>5.1339285714285712</v>
      </c>
      <c r="X7" s="4">
        <f t="shared" si="17"/>
        <v>6.3583815028901727</v>
      </c>
      <c r="Y7" s="4">
        <f t="shared" si="14"/>
        <v>1.2244529314616015</v>
      </c>
      <c r="Z7" s="4">
        <f t="shared" si="15"/>
        <v>10</v>
      </c>
      <c r="AA7" s="4">
        <f>V7-U7</f>
        <v>0.71</v>
      </c>
      <c r="AB7" s="4">
        <v>0</v>
      </c>
      <c r="AC7" s="11"/>
      <c r="AD7" s="11"/>
      <c r="AE7" s="4">
        <f t="shared" si="5"/>
        <v>0</v>
      </c>
      <c r="AF7" s="4">
        <f>(AD7-M7)*86400</f>
        <v>0</v>
      </c>
      <c r="AG7" s="4">
        <v>0</v>
      </c>
      <c r="AH7" s="4">
        <f t="shared" si="6"/>
        <v>0</v>
      </c>
    </row>
    <row r="8" spans="1:34" x14ac:dyDescent="0.25">
      <c r="A8" s="3" t="s">
        <v>28</v>
      </c>
      <c r="B8" s="9">
        <v>43397</v>
      </c>
      <c r="C8" s="3">
        <v>1</v>
      </c>
      <c r="D8" s="3" t="s">
        <v>33</v>
      </c>
      <c r="E8" s="8">
        <v>0.2978587962962963</v>
      </c>
      <c r="F8" s="8">
        <v>0.29834490740740743</v>
      </c>
      <c r="G8" s="6">
        <f t="shared" ref="G8:G67" si="19">(F8-E8)*86400</f>
        <v>42.000000000001769</v>
      </c>
      <c r="H8" s="2">
        <v>2</v>
      </c>
      <c r="I8" s="2">
        <v>1</v>
      </c>
      <c r="J8" s="2">
        <v>85</v>
      </c>
      <c r="K8" s="2">
        <v>1</v>
      </c>
      <c r="L8" s="10">
        <v>0.2978587962962963</v>
      </c>
      <c r="M8" s="10">
        <v>0.29804398148148148</v>
      </c>
      <c r="N8" s="2">
        <f t="shared" ref="N8:N17" si="20">(M8-L8)*86400</f>
        <v>15.999999999999304</v>
      </c>
      <c r="O8" s="2"/>
      <c r="P8" s="13">
        <f t="shared" si="11"/>
        <v>0</v>
      </c>
      <c r="Q8" s="2">
        <v>2</v>
      </c>
      <c r="R8" s="7">
        <f>Q8/0.6</f>
        <v>3.3333333333333335</v>
      </c>
      <c r="S8" s="4">
        <v>42</v>
      </c>
      <c r="T8" s="4">
        <v>63</v>
      </c>
      <c r="U8" s="4">
        <v>7.39</v>
      </c>
      <c r="V8" s="4">
        <v>5.19</v>
      </c>
      <c r="W8" s="4">
        <f t="shared" si="17"/>
        <v>5.6833558863328824</v>
      </c>
      <c r="X8" s="4">
        <f t="shared" si="17"/>
        <v>12.138728323699421</v>
      </c>
      <c r="Y8" s="4">
        <f t="shared" si="14"/>
        <v>6.4553724373665391</v>
      </c>
      <c r="Z8" s="4">
        <f t="shared" si="15"/>
        <v>21</v>
      </c>
      <c r="AA8" s="4">
        <f>V8-U8</f>
        <v>-2.1999999999999993</v>
      </c>
      <c r="AB8" s="4">
        <v>3</v>
      </c>
      <c r="AC8" s="11">
        <v>0.2978587962962963</v>
      </c>
      <c r="AD8" s="11">
        <v>0.29804398148148148</v>
      </c>
      <c r="AE8" s="4">
        <f t="shared" ref="AE8:AE21" si="21">(AD8-AC8)*86400</f>
        <v>15.999999999999304</v>
      </c>
      <c r="AF8" s="4">
        <f>(AD8-M8)*86400</f>
        <v>0</v>
      </c>
      <c r="AG8" s="4">
        <v>2</v>
      </c>
      <c r="AH8" s="4">
        <f>AG8/0.6</f>
        <v>3.3333333333333335</v>
      </c>
    </row>
    <row r="9" spans="1:34" x14ac:dyDescent="0.25">
      <c r="A9" s="3"/>
      <c r="B9" s="9">
        <v>43397</v>
      </c>
      <c r="C9" s="3">
        <v>1</v>
      </c>
      <c r="D9" s="3"/>
      <c r="E9" s="8"/>
      <c r="F9" s="8"/>
      <c r="G9" s="6"/>
      <c r="H9" s="2">
        <v>2</v>
      </c>
      <c r="I9" s="2"/>
      <c r="J9" s="2"/>
      <c r="K9" s="2">
        <v>1</v>
      </c>
      <c r="L9" s="10">
        <v>0.29806712962962961</v>
      </c>
      <c r="M9" s="10">
        <v>0.29812500000000003</v>
      </c>
      <c r="N9" s="2">
        <f t="shared" si="20"/>
        <v>5.000000000003979</v>
      </c>
      <c r="O9" s="2"/>
      <c r="P9" s="2"/>
      <c r="Q9" s="2"/>
      <c r="R9" s="7"/>
      <c r="S9" s="4"/>
      <c r="T9" s="4"/>
      <c r="U9" s="4"/>
      <c r="V9" s="4"/>
      <c r="W9" s="4"/>
      <c r="X9" s="4"/>
      <c r="Y9" s="4"/>
      <c r="Z9" s="4"/>
      <c r="AA9" s="4"/>
      <c r="AB9" s="4">
        <v>2</v>
      </c>
      <c r="AC9" s="11">
        <v>0.29805555555555557</v>
      </c>
      <c r="AD9" s="11">
        <v>0.29834490740740743</v>
      </c>
      <c r="AE9" s="4">
        <f t="shared" si="21"/>
        <v>25.000000000000711</v>
      </c>
      <c r="AF9" s="4"/>
      <c r="AG9" s="4"/>
      <c r="AH9" s="4"/>
    </row>
    <row r="10" spans="1:34" x14ac:dyDescent="0.25">
      <c r="A10" s="3" t="s">
        <v>29</v>
      </c>
      <c r="B10" s="9">
        <v>43397</v>
      </c>
      <c r="C10" s="3">
        <v>1</v>
      </c>
      <c r="D10" s="3" t="s">
        <v>34</v>
      </c>
      <c r="E10" s="8">
        <v>0.299837962962963</v>
      </c>
      <c r="F10" s="8">
        <v>0.30002314814814818</v>
      </c>
      <c r="G10" s="6">
        <f t="shared" si="19"/>
        <v>15.999999999999304</v>
      </c>
      <c r="H10" s="2">
        <v>2</v>
      </c>
      <c r="I10" s="2">
        <v>1</v>
      </c>
      <c r="J10" s="2">
        <v>90</v>
      </c>
      <c r="K10" s="2">
        <v>1</v>
      </c>
      <c r="L10" s="10">
        <v>0.299837962962963</v>
      </c>
      <c r="M10" s="10">
        <v>0.2999074074074074</v>
      </c>
      <c r="N10" s="2">
        <f t="shared" si="20"/>
        <v>5.9999999999961418</v>
      </c>
      <c r="O10" s="2"/>
      <c r="P10" s="13">
        <f t="shared" ref="P10:P13" si="22">(L10-E10)*86400</f>
        <v>0</v>
      </c>
      <c r="Q10" s="2">
        <v>1</v>
      </c>
      <c r="R10" s="7">
        <f>Q10/0.6</f>
        <v>1.6666666666666667</v>
      </c>
      <c r="S10" s="4">
        <v>57</v>
      </c>
      <c r="T10" s="4">
        <v>54</v>
      </c>
      <c r="U10" s="4">
        <v>4.12</v>
      </c>
      <c r="V10" s="4">
        <v>2.2999999999999998</v>
      </c>
      <c r="W10" s="4">
        <f t="shared" ref="W10:W12" si="23">S10/U10</f>
        <v>13.83495145631068</v>
      </c>
      <c r="X10" s="4">
        <f t="shared" ref="X10:X12" si="24">T10/V10</f>
        <v>23.478260869565219</v>
      </c>
      <c r="Y10" s="4">
        <f t="shared" ref="Y10:Y13" si="25">X10-W10</f>
        <v>9.6433094132545385</v>
      </c>
      <c r="Z10" s="4">
        <f t="shared" ref="Z10:Z13" si="26">T10-S10</f>
        <v>-3</v>
      </c>
      <c r="AA10" s="4">
        <f t="shared" ref="AA10:AA12" si="27">V10-U10</f>
        <v>-1.8200000000000003</v>
      </c>
      <c r="AB10" s="4">
        <v>2</v>
      </c>
      <c r="AC10" s="11">
        <v>0.29986111111111108</v>
      </c>
      <c r="AD10" s="11">
        <v>0.30002314814814818</v>
      </c>
      <c r="AE10" s="4">
        <f t="shared" si="21"/>
        <v>14.000000000005386</v>
      </c>
      <c r="AF10" s="4">
        <f>(AD10-M10)*86400</f>
        <v>10.000000000003162</v>
      </c>
      <c r="AG10" s="4">
        <v>0</v>
      </c>
      <c r="AH10" s="4">
        <f t="shared" ref="AH10:AH20" si="28">AG10/0.6</f>
        <v>0</v>
      </c>
    </row>
    <row r="11" spans="1:34" x14ac:dyDescent="0.25">
      <c r="A11" s="3" t="s">
        <v>42</v>
      </c>
      <c r="B11" s="9">
        <v>43397</v>
      </c>
      <c r="C11" s="3">
        <v>1</v>
      </c>
      <c r="D11" s="3" t="s">
        <v>43</v>
      </c>
      <c r="E11" s="8">
        <v>0.33608796296296295</v>
      </c>
      <c r="F11" s="8">
        <v>0.3362384259259259</v>
      </c>
      <c r="G11" s="6">
        <f t="shared" si="19"/>
        <v>12.999999999998835</v>
      </c>
      <c r="H11" s="2">
        <v>2</v>
      </c>
      <c r="I11" s="2">
        <v>1</v>
      </c>
      <c r="J11" s="2">
        <v>72</v>
      </c>
      <c r="K11" s="2">
        <v>1</v>
      </c>
      <c r="L11" s="10">
        <v>0.33608796296296295</v>
      </c>
      <c r="M11" s="10">
        <v>0.33612268518518523</v>
      </c>
      <c r="N11" s="2">
        <f t="shared" si="20"/>
        <v>3.0000000000052651</v>
      </c>
      <c r="O11" s="2"/>
      <c r="P11" s="13">
        <f t="shared" si="22"/>
        <v>0</v>
      </c>
      <c r="Q11" s="2">
        <v>1</v>
      </c>
      <c r="R11" s="7">
        <f>Q11/0.6</f>
        <v>1.6666666666666667</v>
      </c>
      <c r="S11" s="4">
        <v>403</v>
      </c>
      <c r="T11" s="4">
        <v>330</v>
      </c>
      <c r="U11" s="4">
        <v>12.46</v>
      </c>
      <c r="V11" s="4">
        <v>11.01</v>
      </c>
      <c r="W11" s="4">
        <f t="shared" si="23"/>
        <v>32.343499197431782</v>
      </c>
      <c r="X11" s="4">
        <f t="shared" si="24"/>
        <v>29.972752043596731</v>
      </c>
      <c r="Y11" s="4">
        <f t="shared" si="25"/>
        <v>-2.3707471538350511</v>
      </c>
      <c r="Z11" s="4">
        <f t="shared" si="26"/>
        <v>-73</v>
      </c>
      <c r="AA11" s="4">
        <f t="shared" si="27"/>
        <v>-1.4500000000000011</v>
      </c>
      <c r="AB11" s="4">
        <v>2</v>
      </c>
      <c r="AC11" s="11">
        <v>0.33608796296296295</v>
      </c>
      <c r="AD11" s="11">
        <v>0.3362384259259259</v>
      </c>
      <c r="AE11" s="4">
        <f t="shared" si="21"/>
        <v>12.999999999998835</v>
      </c>
      <c r="AF11" s="4">
        <f>(AD11-M11)*86400</f>
        <v>9.9999999999935696</v>
      </c>
      <c r="AG11" s="4">
        <v>1</v>
      </c>
      <c r="AH11" s="4">
        <f t="shared" si="28"/>
        <v>1.6666666666666667</v>
      </c>
    </row>
    <row r="12" spans="1:34" x14ac:dyDescent="0.25">
      <c r="A12" s="3" t="s">
        <v>42</v>
      </c>
      <c r="B12" s="9">
        <v>43397</v>
      </c>
      <c r="C12" s="3">
        <v>1</v>
      </c>
      <c r="D12" s="3" t="s">
        <v>44</v>
      </c>
      <c r="E12" s="8">
        <v>0.33674768518518516</v>
      </c>
      <c r="F12" s="8">
        <v>0.33718749999999997</v>
      </c>
      <c r="G12" s="6">
        <f t="shared" si="19"/>
        <v>37.999999999999545</v>
      </c>
      <c r="H12" s="2">
        <v>2</v>
      </c>
      <c r="I12" s="2">
        <v>1</v>
      </c>
      <c r="J12" s="2">
        <v>74</v>
      </c>
      <c r="K12" s="2">
        <v>1</v>
      </c>
      <c r="L12" s="10">
        <v>0.33674768518518516</v>
      </c>
      <c r="M12" s="10">
        <v>0.33680555555555558</v>
      </c>
      <c r="N12" s="2">
        <f t="shared" si="20"/>
        <v>5.000000000003979</v>
      </c>
      <c r="O12" s="2"/>
      <c r="P12" s="13">
        <f t="shared" si="22"/>
        <v>0</v>
      </c>
      <c r="Q12" s="2">
        <v>1</v>
      </c>
      <c r="R12" s="7">
        <f>Q12/0.6</f>
        <v>1.6666666666666667</v>
      </c>
      <c r="S12" s="4">
        <v>459</v>
      </c>
      <c r="T12" s="4">
        <v>298</v>
      </c>
      <c r="U12" s="4">
        <v>13.02</v>
      </c>
      <c r="V12" s="4">
        <v>11.1</v>
      </c>
      <c r="W12" s="4">
        <f t="shared" si="23"/>
        <v>35.253456221198157</v>
      </c>
      <c r="X12" s="4">
        <f t="shared" si="24"/>
        <v>26.846846846846848</v>
      </c>
      <c r="Y12" s="4">
        <f t="shared" si="25"/>
        <v>-8.4066093743513086</v>
      </c>
      <c r="Z12" s="4">
        <f t="shared" si="26"/>
        <v>-161</v>
      </c>
      <c r="AA12" s="4">
        <f t="shared" si="27"/>
        <v>-1.92</v>
      </c>
      <c r="AB12" s="4">
        <v>3</v>
      </c>
      <c r="AC12" s="11">
        <v>0.33674768518518516</v>
      </c>
      <c r="AD12" s="11">
        <v>0.33718749999999997</v>
      </c>
      <c r="AE12" s="4">
        <f t="shared" si="21"/>
        <v>37.999999999999545</v>
      </c>
      <c r="AF12" s="4">
        <f>(AD12-M12)*86400</f>
        <v>32.999999999995566</v>
      </c>
      <c r="AG12" s="4">
        <v>1</v>
      </c>
      <c r="AH12" s="4">
        <f t="shared" si="28"/>
        <v>1.6666666666666667</v>
      </c>
    </row>
    <row r="13" spans="1:34" x14ac:dyDescent="0.25">
      <c r="A13" s="3" t="s">
        <v>45</v>
      </c>
      <c r="B13" s="9">
        <v>43397</v>
      </c>
      <c r="C13" s="3">
        <v>2</v>
      </c>
      <c r="D13" s="3" t="s">
        <v>46</v>
      </c>
      <c r="E13" s="8">
        <v>0.54546296296296293</v>
      </c>
      <c r="F13" s="8">
        <v>0.54621527777777779</v>
      </c>
      <c r="G13" s="6">
        <f t="shared" si="19"/>
        <v>65.000000000003766</v>
      </c>
      <c r="H13" s="2">
        <v>1</v>
      </c>
      <c r="I13" s="2">
        <v>2</v>
      </c>
      <c r="J13" s="2">
        <v>70</v>
      </c>
      <c r="K13" s="2">
        <v>1</v>
      </c>
      <c r="L13" s="10">
        <v>0.54546296296296293</v>
      </c>
      <c r="M13" s="10">
        <v>0.54549768518518515</v>
      </c>
      <c r="N13" s="2">
        <f t="shared" si="20"/>
        <v>3.000000000000469</v>
      </c>
      <c r="O13" s="2"/>
      <c r="P13" s="13">
        <f t="shared" si="22"/>
        <v>0</v>
      </c>
      <c r="Q13" s="2">
        <v>5</v>
      </c>
      <c r="R13" s="7">
        <f>Q13/0.6</f>
        <v>8.3333333333333339</v>
      </c>
      <c r="S13" s="4">
        <v>188</v>
      </c>
      <c r="T13" s="4">
        <v>294</v>
      </c>
      <c r="U13" s="4">
        <v>6.97</v>
      </c>
      <c r="V13" s="4">
        <v>7.97</v>
      </c>
      <c r="W13" s="4">
        <f t="shared" ref="W13:W19" si="29">S13/U13</f>
        <v>26.97274031563845</v>
      </c>
      <c r="X13" s="4">
        <f t="shared" ref="X13:X19" si="30">T13/V13</f>
        <v>36.888331242158095</v>
      </c>
      <c r="Y13" s="4">
        <f t="shared" si="25"/>
        <v>9.9155909265196449</v>
      </c>
      <c r="Z13" s="4">
        <f t="shared" si="26"/>
        <v>106</v>
      </c>
      <c r="AA13" s="4">
        <f t="shared" ref="AA13:AA19" si="31">V13-U13</f>
        <v>1</v>
      </c>
      <c r="AB13" s="4">
        <v>2</v>
      </c>
      <c r="AC13" s="11">
        <v>0.54546296296296293</v>
      </c>
      <c r="AD13" s="11">
        <v>0.54549768518518515</v>
      </c>
      <c r="AE13" s="4">
        <f t="shared" si="21"/>
        <v>3.000000000000469</v>
      </c>
      <c r="AF13" s="4">
        <f>(AD17-M17)*86400</f>
        <v>3.9999999999974278</v>
      </c>
      <c r="AG13" s="4">
        <v>7</v>
      </c>
      <c r="AH13" s="4">
        <f t="shared" si="28"/>
        <v>11.666666666666668</v>
      </c>
    </row>
    <row r="14" spans="1:34" x14ac:dyDescent="0.25">
      <c r="A14" s="3"/>
      <c r="B14" s="9">
        <v>43397</v>
      </c>
      <c r="C14" s="3">
        <v>2</v>
      </c>
      <c r="D14" s="3"/>
      <c r="E14" s="8"/>
      <c r="F14" s="8"/>
      <c r="G14" s="6"/>
      <c r="H14" s="2">
        <v>1</v>
      </c>
      <c r="I14" s="2"/>
      <c r="J14" s="2"/>
      <c r="K14" s="2">
        <v>1</v>
      </c>
      <c r="L14" s="10">
        <v>0.5455092592592593</v>
      </c>
      <c r="M14" s="10">
        <v>0.54555555555555557</v>
      </c>
      <c r="N14" s="2">
        <f t="shared" si="20"/>
        <v>3.9999999999974278</v>
      </c>
      <c r="O14" s="2"/>
      <c r="P14" s="2"/>
      <c r="Q14" s="2"/>
      <c r="R14" s="7"/>
      <c r="S14" s="4"/>
      <c r="T14" s="4"/>
      <c r="U14" s="4"/>
      <c r="V14" s="4"/>
      <c r="W14" s="4"/>
      <c r="X14" s="4"/>
      <c r="Y14" s="4"/>
      <c r="Z14" s="4"/>
      <c r="AA14" s="4"/>
      <c r="AB14" s="4">
        <v>2</v>
      </c>
      <c r="AC14" s="11">
        <v>0.5455092592592593</v>
      </c>
      <c r="AD14" s="11">
        <v>0.54574074074074075</v>
      </c>
      <c r="AE14" s="4">
        <f t="shared" si="21"/>
        <v>19.999999999996732</v>
      </c>
      <c r="AF14" s="4"/>
      <c r="AG14" s="4"/>
      <c r="AH14" s="4"/>
    </row>
    <row r="15" spans="1:34" x14ac:dyDescent="0.25">
      <c r="A15" s="3"/>
      <c r="B15" s="9">
        <v>43397</v>
      </c>
      <c r="C15" s="3">
        <v>2</v>
      </c>
      <c r="D15" s="3"/>
      <c r="E15" s="8"/>
      <c r="F15" s="8"/>
      <c r="G15" s="6"/>
      <c r="H15" s="2">
        <v>1</v>
      </c>
      <c r="I15" s="2"/>
      <c r="J15" s="2"/>
      <c r="K15" s="2">
        <v>1</v>
      </c>
      <c r="L15" s="10">
        <v>0.54577546296296298</v>
      </c>
      <c r="M15" s="10">
        <v>0.54582175925925924</v>
      </c>
      <c r="N15" s="2">
        <f t="shared" si="20"/>
        <v>3.9999999999974278</v>
      </c>
      <c r="O15" s="2"/>
      <c r="P15" s="2"/>
      <c r="Q15" s="2"/>
      <c r="R15" s="7"/>
      <c r="S15" s="4"/>
      <c r="T15" s="4"/>
      <c r="U15" s="4"/>
      <c r="V15" s="4"/>
      <c r="W15" s="4"/>
      <c r="X15" s="4"/>
      <c r="Y15" s="4"/>
      <c r="Z15" s="4"/>
      <c r="AA15" s="4"/>
      <c r="AB15" s="4">
        <v>2</v>
      </c>
      <c r="AC15" s="11">
        <v>0.54578703703703701</v>
      </c>
      <c r="AD15" s="11">
        <v>0.54584490740740743</v>
      </c>
      <c r="AE15" s="4">
        <f t="shared" si="21"/>
        <v>5.000000000003979</v>
      </c>
      <c r="AF15" s="4"/>
      <c r="AG15" s="4"/>
      <c r="AH15" s="4"/>
    </row>
    <row r="16" spans="1:34" x14ac:dyDescent="0.25">
      <c r="A16" s="3"/>
      <c r="B16" s="9">
        <v>43397</v>
      </c>
      <c r="C16" s="3">
        <v>2</v>
      </c>
      <c r="D16" s="3"/>
      <c r="E16" s="8"/>
      <c r="F16" s="8"/>
      <c r="G16" s="6"/>
      <c r="H16" s="2">
        <v>1</v>
      </c>
      <c r="I16" s="2"/>
      <c r="J16" s="2"/>
      <c r="K16" s="2">
        <v>1</v>
      </c>
      <c r="L16" s="10">
        <v>0.54585648148148147</v>
      </c>
      <c r="M16" s="10">
        <v>0.5458912037037037</v>
      </c>
      <c r="N16" s="2">
        <f t="shared" si="20"/>
        <v>3.000000000000469</v>
      </c>
      <c r="O16" s="2"/>
      <c r="P16" s="2"/>
      <c r="Q16" s="2"/>
      <c r="R16" s="7"/>
      <c r="S16" s="4"/>
      <c r="T16" s="4"/>
      <c r="U16" s="4"/>
      <c r="V16" s="4"/>
      <c r="W16" s="4"/>
      <c r="X16" s="4"/>
      <c r="Y16" s="4"/>
      <c r="Z16" s="4"/>
      <c r="AA16" s="4"/>
      <c r="AB16" s="4">
        <v>2</v>
      </c>
      <c r="AC16" s="11">
        <v>0.54585648148148147</v>
      </c>
      <c r="AD16" s="11">
        <v>0.5458912037037037</v>
      </c>
      <c r="AE16" s="4">
        <f t="shared" si="21"/>
        <v>3.000000000000469</v>
      </c>
      <c r="AF16" s="4"/>
      <c r="AG16" s="4"/>
      <c r="AH16" s="4"/>
    </row>
    <row r="17" spans="1:34" x14ac:dyDescent="0.25">
      <c r="A17" s="3"/>
      <c r="B17" s="9">
        <v>43397</v>
      </c>
      <c r="C17" s="3">
        <v>2</v>
      </c>
      <c r="D17" s="3"/>
      <c r="E17" s="8"/>
      <c r="F17" s="8"/>
      <c r="G17" s="6"/>
      <c r="H17" s="2">
        <v>1</v>
      </c>
      <c r="I17" s="2"/>
      <c r="J17" s="2"/>
      <c r="K17" s="2">
        <v>1</v>
      </c>
      <c r="L17" s="10">
        <v>0.54587962962962966</v>
      </c>
      <c r="M17" s="10">
        <v>0.54592592592592593</v>
      </c>
      <c r="N17" s="2">
        <f t="shared" si="20"/>
        <v>3.9999999999974278</v>
      </c>
      <c r="O17" s="2"/>
      <c r="P17" s="2"/>
      <c r="Q17" s="2"/>
      <c r="R17" s="7"/>
      <c r="S17" s="4"/>
      <c r="T17" s="4"/>
      <c r="U17" s="4"/>
      <c r="V17" s="4"/>
      <c r="W17" s="4"/>
      <c r="X17" s="4"/>
      <c r="Y17" s="4"/>
      <c r="Z17" s="4"/>
      <c r="AA17" s="4"/>
      <c r="AB17" s="4">
        <v>2</v>
      </c>
      <c r="AC17" s="11">
        <v>0.54587962962962966</v>
      </c>
      <c r="AD17" s="11">
        <v>0.54597222222222219</v>
      </c>
      <c r="AE17" s="4">
        <f t="shared" si="21"/>
        <v>7.9999999999948557</v>
      </c>
      <c r="AF17" s="4"/>
      <c r="AG17" s="4"/>
      <c r="AH17" s="4"/>
    </row>
    <row r="18" spans="1:34" x14ac:dyDescent="0.25">
      <c r="A18" s="3"/>
      <c r="B18" s="9">
        <v>43397</v>
      </c>
      <c r="C18" s="3">
        <v>2</v>
      </c>
      <c r="D18" s="3"/>
      <c r="E18" s="8"/>
      <c r="F18" s="8"/>
      <c r="G18" s="6"/>
      <c r="H18" s="2">
        <v>1</v>
      </c>
      <c r="I18" s="2"/>
      <c r="J18" s="2"/>
      <c r="K18" s="2">
        <v>0</v>
      </c>
      <c r="L18" s="10"/>
      <c r="M18" s="10"/>
      <c r="N18" s="2">
        <v>0</v>
      </c>
      <c r="O18" s="2"/>
      <c r="P18" s="2"/>
      <c r="Q18" s="2"/>
      <c r="R18" s="7"/>
      <c r="S18" s="4"/>
      <c r="T18" s="4"/>
      <c r="U18" s="4"/>
      <c r="V18" s="4"/>
      <c r="W18" s="4"/>
      <c r="X18" s="4"/>
      <c r="Y18" s="4"/>
      <c r="Z18" s="4"/>
      <c r="AA18" s="4"/>
      <c r="AB18" s="4">
        <v>0</v>
      </c>
      <c r="AC18" s="11"/>
      <c r="AD18" s="11"/>
      <c r="AE18" s="4">
        <f t="shared" si="21"/>
        <v>0</v>
      </c>
      <c r="AF18" s="4"/>
      <c r="AG18" s="4"/>
      <c r="AH18" s="4"/>
    </row>
    <row r="19" spans="1:34" x14ac:dyDescent="0.25">
      <c r="A19" s="3" t="s">
        <v>45</v>
      </c>
      <c r="B19" s="9">
        <v>43397</v>
      </c>
      <c r="C19" s="3">
        <v>2</v>
      </c>
      <c r="D19" s="3" t="s">
        <v>47</v>
      </c>
      <c r="E19" s="8">
        <v>0.54666666666666663</v>
      </c>
      <c r="F19" s="8">
        <v>0.54714120370370367</v>
      </c>
      <c r="G19" s="6">
        <f t="shared" si="19"/>
        <v>41.000000000000014</v>
      </c>
      <c r="H19" s="2">
        <v>1</v>
      </c>
      <c r="I19" s="2">
        <v>1</v>
      </c>
      <c r="J19" s="2">
        <v>69</v>
      </c>
      <c r="K19" s="2">
        <v>1</v>
      </c>
      <c r="L19" s="10">
        <v>0.54666666666666663</v>
      </c>
      <c r="M19" s="10">
        <v>0.54668981481481482</v>
      </c>
      <c r="N19" s="2">
        <f>(M19-L19)*86400</f>
        <v>2.0000000000035101</v>
      </c>
      <c r="O19" s="2"/>
      <c r="P19" s="13">
        <f t="shared" ref="P19" si="32">(L19-E19)*86400</f>
        <v>0</v>
      </c>
      <c r="Q19" s="2">
        <v>1</v>
      </c>
      <c r="R19" s="7">
        <f t="shared" ref="R19:R20" si="33">Q19/0.6</f>
        <v>1.6666666666666667</v>
      </c>
      <c r="S19" s="4">
        <v>29</v>
      </c>
      <c r="T19" s="4">
        <v>13</v>
      </c>
      <c r="U19" s="4">
        <v>1.1299999999999999</v>
      </c>
      <c r="V19" s="4">
        <v>2.8</v>
      </c>
      <c r="W19" s="4">
        <f t="shared" si="29"/>
        <v>25.663716814159294</v>
      </c>
      <c r="X19" s="4">
        <f t="shared" si="30"/>
        <v>4.6428571428571432</v>
      </c>
      <c r="Y19" s="4">
        <f t="shared" ref="Y19:Y21" si="34">X19-W19</f>
        <v>-21.020859671302151</v>
      </c>
      <c r="Z19" s="4">
        <f t="shared" ref="Z19:Z20" si="35">T19-S19</f>
        <v>-16</v>
      </c>
      <c r="AA19" s="4">
        <f t="shared" si="31"/>
        <v>1.67</v>
      </c>
      <c r="AB19" s="4">
        <v>2</v>
      </c>
      <c r="AC19" s="11">
        <v>0.54666666666666663</v>
      </c>
      <c r="AD19" s="11">
        <v>0.54680555555555554</v>
      </c>
      <c r="AE19" s="4">
        <f t="shared" si="21"/>
        <v>12.000000000001876</v>
      </c>
      <c r="AF19" s="4">
        <f>(AD19-M19)*86400</f>
        <v>9.9999999999983658</v>
      </c>
      <c r="AG19" s="4">
        <v>0</v>
      </c>
      <c r="AH19" s="4">
        <f t="shared" si="28"/>
        <v>0</v>
      </c>
    </row>
    <row r="20" spans="1:34" x14ac:dyDescent="0.25">
      <c r="A20" s="3" t="s">
        <v>48</v>
      </c>
      <c r="B20" s="9">
        <v>43398</v>
      </c>
      <c r="C20" s="3">
        <v>1</v>
      </c>
      <c r="D20" s="3" t="s">
        <v>49</v>
      </c>
      <c r="E20" s="8">
        <v>0.31570601851851854</v>
      </c>
      <c r="F20" s="8">
        <v>0.31604166666666667</v>
      </c>
      <c r="G20" s="6">
        <f t="shared" si="19"/>
        <v>28.999999999998138</v>
      </c>
      <c r="H20" s="2">
        <v>2</v>
      </c>
      <c r="I20" s="2">
        <v>1</v>
      </c>
      <c r="J20" s="2">
        <v>60</v>
      </c>
      <c r="K20" s="2">
        <v>0</v>
      </c>
      <c r="L20" s="10"/>
      <c r="M20" s="10"/>
      <c r="N20" s="2">
        <f t="shared" ref="N20:N21" si="36">(M20-L20)*86400</f>
        <v>0</v>
      </c>
      <c r="O20" s="2">
        <v>1</v>
      </c>
      <c r="P20" s="13">
        <f>(L21-E20)*86400</f>
        <v>22.9999999999972</v>
      </c>
      <c r="Q20" s="2">
        <v>1</v>
      </c>
      <c r="R20" s="7">
        <f t="shared" si="33"/>
        <v>1.6666666666666667</v>
      </c>
      <c r="S20" s="4">
        <v>425</v>
      </c>
      <c r="T20" s="4">
        <v>377</v>
      </c>
      <c r="U20" s="4">
        <v>11.04</v>
      </c>
      <c r="V20" s="4">
        <v>10.92</v>
      </c>
      <c r="W20" s="4">
        <f t="shared" ref="W20" si="37">S20/U20</f>
        <v>38.496376811594203</v>
      </c>
      <c r="X20" s="4">
        <f t="shared" ref="X20" si="38">T20/V20</f>
        <v>34.523809523809526</v>
      </c>
      <c r="Y20" s="4">
        <f t="shared" si="34"/>
        <v>-3.9725672877846776</v>
      </c>
      <c r="Z20" s="4">
        <f t="shared" si="35"/>
        <v>-48</v>
      </c>
      <c r="AA20" s="4">
        <f t="shared" ref="AA20" si="39">V20-U20</f>
        <v>-0.11999999999999922</v>
      </c>
      <c r="AB20" s="4">
        <v>4</v>
      </c>
      <c r="AC20" s="11">
        <v>0.31570601851851854</v>
      </c>
      <c r="AD20" s="11">
        <v>0.31596064814814812</v>
      </c>
      <c r="AE20" s="4">
        <f t="shared" si="21"/>
        <v>21.999999999995445</v>
      </c>
      <c r="AF20" s="4">
        <f>(AD21-M21)*86400</f>
        <v>4.000000000002224</v>
      </c>
      <c r="AG20" s="4">
        <v>2</v>
      </c>
      <c r="AH20" s="4">
        <f t="shared" si="28"/>
        <v>3.3333333333333335</v>
      </c>
    </row>
    <row r="21" spans="1:34" x14ac:dyDescent="0.25">
      <c r="A21" s="3"/>
      <c r="B21" s="9">
        <v>43398</v>
      </c>
      <c r="C21" s="3">
        <v>1</v>
      </c>
      <c r="D21" s="8"/>
      <c r="E21" s="8"/>
      <c r="F21" s="8"/>
      <c r="G21" s="6"/>
      <c r="H21" s="2">
        <v>2</v>
      </c>
      <c r="I21" s="2"/>
      <c r="J21" s="2"/>
      <c r="K21" s="2">
        <v>1</v>
      </c>
      <c r="L21" s="10">
        <v>0.31597222222222221</v>
      </c>
      <c r="M21" s="10">
        <v>0.31599537037037034</v>
      </c>
      <c r="N21" s="2">
        <f t="shared" si="36"/>
        <v>1.9999999999987139</v>
      </c>
      <c r="O21" s="2"/>
      <c r="P21" s="2"/>
      <c r="Q21" s="2"/>
      <c r="R21" s="7"/>
      <c r="S21" s="4">
        <v>319</v>
      </c>
      <c r="T21" s="4">
        <v>286</v>
      </c>
      <c r="U21" s="4">
        <v>6.77</v>
      </c>
      <c r="V21" s="4">
        <v>6.85</v>
      </c>
      <c r="W21" s="4">
        <f t="shared" ref="W21" si="40">S21/U21</f>
        <v>47.119645494830138</v>
      </c>
      <c r="X21" s="4">
        <f t="shared" ref="X21" si="41">T21/V21</f>
        <v>41.751824817518248</v>
      </c>
      <c r="Y21" s="4">
        <f t="shared" si="34"/>
        <v>-5.3678206773118902</v>
      </c>
      <c r="Z21" s="4"/>
      <c r="AA21" s="4">
        <f t="shared" ref="AA21" si="42">V21-U21</f>
        <v>8.0000000000000071E-2</v>
      </c>
      <c r="AB21" s="4">
        <v>2</v>
      </c>
      <c r="AC21" s="11">
        <v>0.31597222222222221</v>
      </c>
      <c r="AD21" s="11">
        <v>0.31604166666666667</v>
      </c>
      <c r="AE21" s="4">
        <f t="shared" si="21"/>
        <v>6.0000000000009379</v>
      </c>
      <c r="AF21" s="4"/>
      <c r="AG21" s="4"/>
      <c r="AH21" s="4"/>
    </row>
    <row r="22" spans="1:34" x14ac:dyDescent="0.25">
      <c r="A22" s="3" t="s">
        <v>52</v>
      </c>
      <c r="B22" s="9">
        <v>43398</v>
      </c>
      <c r="C22" s="3">
        <v>1</v>
      </c>
      <c r="D22" s="3" t="s">
        <v>50</v>
      </c>
      <c r="E22" s="8">
        <v>0.31935185185185183</v>
      </c>
      <c r="F22" s="8">
        <v>0.31967592592592592</v>
      </c>
      <c r="G22" s="6">
        <f>(F22-E22)*86400</f>
        <v>28.00000000000118</v>
      </c>
      <c r="H22" s="2">
        <v>2</v>
      </c>
      <c r="I22" s="2">
        <v>1</v>
      </c>
      <c r="J22" s="2">
        <v>60</v>
      </c>
      <c r="K22" s="2">
        <v>0</v>
      </c>
      <c r="L22" s="10">
        <v>0.31935185185185183</v>
      </c>
      <c r="M22" s="10">
        <v>0.31958333333333333</v>
      </c>
      <c r="N22" s="2">
        <v>0</v>
      </c>
      <c r="O22" s="2">
        <v>1</v>
      </c>
      <c r="P22" s="13">
        <f>(L23-E22)*86400</f>
        <v>20.000000000001528</v>
      </c>
      <c r="Q22" s="2">
        <v>1</v>
      </c>
      <c r="R22" s="7">
        <f>Q22/0.6</f>
        <v>1.6666666666666667</v>
      </c>
      <c r="S22" s="4">
        <v>421</v>
      </c>
      <c r="T22" s="4">
        <v>490</v>
      </c>
      <c r="U22" s="4">
        <v>10.91</v>
      </c>
      <c r="V22" s="4">
        <v>10.94</v>
      </c>
      <c r="W22" s="4">
        <f t="shared" ref="W22" si="43">S22/U22</f>
        <v>38.588450962419799</v>
      </c>
      <c r="X22" s="4">
        <f t="shared" ref="X22" si="44">T22/V22</f>
        <v>44.789762340036567</v>
      </c>
      <c r="Y22" s="4">
        <f>X22-W22</f>
        <v>6.2013113776167685</v>
      </c>
      <c r="Z22" s="4">
        <f>T22-S22</f>
        <v>69</v>
      </c>
      <c r="AA22" s="4">
        <f t="shared" ref="AA22" si="45">V22-U22</f>
        <v>2.9999999999999361E-2</v>
      </c>
      <c r="AB22" s="4">
        <v>4</v>
      </c>
      <c r="AC22" s="11">
        <v>0.31935185185185183</v>
      </c>
      <c r="AD22" s="11">
        <v>0.3195601851851852</v>
      </c>
      <c r="AE22" s="4">
        <f>(AD22-AC22)*86400</f>
        <v>18.000000000002814</v>
      </c>
      <c r="AF22" s="4">
        <f>(AD23-M23)*86400</f>
        <v>6.0000000000009379</v>
      </c>
      <c r="AG22" s="4">
        <v>2</v>
      </c>
      <c r="AH22" s="4">
        <f>AG22/0.6</f>
        <v>3.3333333333333335</v>
      </c>
    </row>
    <row r="23" spans="1:34" x14ac:dyDescent="0.25">
      <c r="A23" s="3"/>
      <c r="B23" s="9">
        <v>43398</v>
      </c>
      <c r="C23" s="3">
        <v>1</v>
      </c>
      <c r="D23" s="3"/>
      <c r="E23" s="8"/>
      <c r="F23" s="8"/>
      <c r="G23" s="6"/>
      <c r="H23" s="2">
        <v>2</v>
      </c>
      <c r="I23" s="2"/>
      <c r="J23" s="2"/>
      <c r="K23" s="2">
        <v>1</v>
      </c>
      <c r="L23" s="10">
        <v>0.31958333333333333</v>
      </c>
      <c r="M23" s="10">
        <v>0.31960648148148146</v>
      </c>
      <c r="N23" s="2">
        <f t="shared" ref="N23:N28" si="46">(M23-L23)*86400</f>
        <v>1.9999999999987139</v>
      </c>
      <c r="O23" s="2"/>
      <c r="P23" s="2"/>
      <c r="Q23" s="2"/>
      <c r="R23" s="7"/>
      <c r="S23" s="4"/>
      <c r="T23" s="4"/>
      <c r="U23" s="4"/>
      <c r="V23" s="4"/>
      <c r="W23" s="4"/>
      <c r="X23" s="4"/>
      <c r="Y23" s="4"/>
      <c r="Z23" s="4"/>
      <c r="AA23" s="4"/>
      <c r="AB23" s="4">
        <v>2</v>
      </c>
      <c r="AC23" s="11">
        <v>0.31958333333333333</v>
      </c>
      <c r="AD23" s="11">
        <v>0.31967592592592592</v>
      </c>
      <c r="AE23" s="4">
        <f>(AD23-AC23)*86400</f>
        <v>7.9999999999996518</v>
      </c>
      <c r="AF23" s="4"/>
      <c r="AG23" s="4"/>
      <c r="AH23" s="4"/>
    </row>
    <row r="24" spans="1:34" x14ac:dyDescent="0.25">
      <c r="A24" s="3" t="s">
        <v>54</v>
      </c>
      <c r="B24" s="9">
        <v>43398</v>
      </c>
      <c r="C24" s="3">
        <v>3</v>
      </c>
      <c r="D24" s="3" t="s">
        <v>51</v>
      </c>
      <c r="E24" s="8">
        <v>0.70888888888888879</v>
      </c>
      <c r="F24" s="8">
        <v>0.70943287037037039</v>
      </c>
      <c r="G24" s="6">
        <f t="shared" ref="G24" si="47">(F24-E24)*86400</f>
        <v>47.000000000010544</v>
      </c>
      <c r="H24" s="2">
        <v>1</v>
      </c>
      <c r="I24" s="2">
        <v>1</v>
      </c>
      <c r="J24" s="2">
        <v>80</v>
      </c>
      <c r="K24" s="2">
        <v>1</v>
      </c>
      <c r="L24" s="10">
        <v>0.70888888888888879</v>
      </c>
      <c r="M24" s="10">
        <v>0.70892361111111113</v>
      </c>
      <c r="N24" s="2">
        <f t="shared" si="46"/>
        <v>3.0000000000100613</v>
      </c>
      <c r="O24" s="2"/>
      <c r="P24" s="13">
        <f>(L24-E24)*86400</f>
        <v>0</v>
      </c>
      <c r="Q24" s="2">
        <v>2</v>
      </c>
      <c r="R24" s="7">
        <f t="shared" ref="R24:R30" si="48">Q24/0.6</f>
        <v>3.3333333333333335</v>
      </c>
      <c r="S24" s="4">
        <v>143</v>
      </c>
      <c r="T24" s="4">
        <v>141</v>
      </c>
      <c r="U24" s="4">
        <v>3.93</v>
      </c>
      <c r="V24" s="4">
        <v>6.1</v>
      </c>
      <c r="W24" s="4">
        <f t="shared" ref="W24" si="49">S24/U24</f>
        <v>36.386768447837149</v>
      </c>
      <c r="X24" s="4">
        <f t="shared" ref="X24" si="50">T24/V24</f>
        <v>23.114754098360656</v>
      </c>
      <c r="Y24" s="4">
        <f>X24-W24</f>
        <v>-13.272014349476493</v>
      </c>
      <c r="Z24" s="4">
        <f>T24-S24</f>
        <v>-2</v>
      </c>
      <c r="AA24" s="4">
        <f t="shared" ref="AA24" si="51">V24-U24</f>
        <v>2.1699999999999995</v>
      </c>
      <c r="AB24" s="4">
        <v>3</v>
      </c>
      <c r="AC24" s="11">
        <v>0.70888888888888879</v>
      </c>
      <c r="AD24" s="11">
        <v>0.70907407407407408</v>
      </c>
      <c r="AE24" s="4">
        <f>(AD24-AC24)*86400</f>
        <v>16.000000000008896</v>
      </c>
      <c r="AF24" s="4">
        <f>(AD25-M25)*86400</f>
        <v>16.999999999996263</v>
      </c>
      <c r="AG24" s="4">
        <v>5</v>
      </c>
      <c r="AH24" s="4">
        <f t="shared" ref="AH24:AH28" si="52">AG24/0.6</f>
        <v>8.3333333333333339</v>
      </c>
    </row>
    <row r="25" spans="1:34" x14ac:dyDescent="0.25">
      <c r="A25" s="3"/>
      <c r="B25" s="9">
        <v>43398</v>
      </c>
      <c r="C25" s="3">
        <v>3</v>
      </c>
      <c r="D25" s="3"/>
      <c r="E25" s="8"/>
      <c r="F25" s="8"/>
      <c r="G25" s="6"/>
      <c r="H25" s="2">
        <v>1</v>
      </c>
      <c r="I25" s="2"/>
      <c r="J25" s="2"/>
      <c r="K25" s="2">
        <v>1</v>
      </c>
      <c r="L25" s="10">
        <v>0.70920138888888884</v>
      </c>
      <c r="M25" s="10">
        <v>0.70923611111111118</v>
      </c>
      <c r="N25" s="2">
        <f t="shared" si="46"/>
        <v>3.0000000000100613</v>
      </c>
      <c r="O25" s="2"/>
      <c r="P25" s="2"/>
      <c r="Q25" s="2"/>
      <c r="R25" s="7"/>
      <c r="S25" s="4">
        <v>336</v>
      </c>
      <c r="T25" s="4">
        <v>294</v>
      </c>
      <c r="U25" s="4">
        <v>10.65</v>
      </c>
      <c r="V25" s="4">
        <v>7.78</v>
      </c>
      <c r="W25" s="4">
        <f t="shared" ref="W25" si="53">S25/U25</f>
        <v>31.549295774647888</v>
      </c>
      <c r="X25" s="4">
        <f t="shared" ref="X25" si="54">T25/V25</f>
        <v>37.789203084832906</v>
      </c>
      <c r="Y25" s="4">
        <f t="shared" ref="Y25:Y26" si="55">X25-W25</f>
        <v>6.2399073101850178</v>
      </c>
      <c r="Z25" s="4"/>
      <c r="AA25" s="4">
        <f t="shared" ref="AA25" si="56">V25-U25</f>
        <v>-2.87</v>
      </c>
      <c r="AB25" s="4">
        <v>4</v>
      </c>
      <c r="AC25" s="11">
        <v>0.70921296296296299</v>
      </c>
      <c r="AD25" s="11">
        <v>0.70943287037037039</v>
      </c>
      <c r="AE25" s="4">
        <f>(AD25-AC25)*86400</f>
        <v>18.999999999999773</v>
      </c>
      <c r="AF25" s="4"/>
      <c r="AG25" s="4"/>
      <c r="AH25" s="4"/>
    </row>
    <row r="26" spans="1:34" x14ac:dyDescent="0.25">
      <c r="A26" s="3" t="s">
        <v>54</v>
      </c>
      <c r="B26" s="9">
        <v>43398</v>
      </c>
      <c r="C26" s="3">
        <v>3</v>
      </c>
      <c r="D26" s="3" t="s">
        <v>53</v>
      </c>
      <c r="E26" s="8">
        <v>0.71107638888888891</v>
      </c>
      <c r="F26" s="8">
        <v>0.71194444444444438</v>
      </c>
      <c r="G26" s="6">
        <f t="shared" si="19"/>
        <v>74.999999999992539</v>
      </c>
      <c r="H26" s="2">
        <v>1</v>
      </c>
      <c r="I26" s="2">
        <v>1</v>
      </c>
      <c r="J26" s="2">
        <v>65</v>
      </c>
      <c r="K26" s="2">
        <v>1</v>
      </c>
      <c r="L26" s="10">
        <v>0.71107638888888891</v>
      </c>
      <c r="M26" s="10">
        <v>0.71108796296296306</v>
      </c>
      <c r="N26" s="2">
        <f t="shared" si="46"/>
        <v>1.0000000000065512</v>
      </c>
      <c r="O26" s="2"/>
      <c r="P26" s="13">
        <f>(L26-E26)*86400</f>
        <v>0</v>
      </c>
      <c r="Q26" s="2">
        <v>2</v>
      </c>
      <c r="R26" s="7">
        <f t="shared" si="48"/>
        <v>3.3333333333333335</v>
      </c>
      <c r="S26" s="4">
        <v>382</v>
      </c>
      <c r="T26" s="4">
        <v>333</v>
      </c>
      <c r="U26" s="4">
        <v>13.87</v>
      </c>
      <c r="V26" s="4">
        <v>11.936999999999999</v>
      </c>
      <c r="W26" s="4">
        <f t="shared" ref="W26" si="57">S26/U26</f>
        <v>27.541456380677722</v>
      </c>
      <c r="X26" s="4">
        <f t="shared" ref="X26" si="58">T26/V26</f>
        <v>27.896456396079419</v>
      </c>
      <c r="Y26" s="4">
        <f t="shared" si="55"/>
        <v>0.35500001540169634</v>
      </c>
      <c r="Z26" s="4">
        <f>T26-S26</f>
        <v>-49</v>
      </c>
      <c r="AA26" s="4">
        <f t="shared" ref="AA26" si="59">V26-U26</f>
        <v>-1.9329999999999998</v>
      </c>
      <c r="AB26" s="4">
        <v>2</v>
      </c>
      <c r="AC26" s="11">
        <v>0.71107638888888891</v>
      </c>
      <c r="AD26" s="11">
        <v>0.71121527777777782</v>
      </c>
      <c r="AE26" s="4">
        <f t="shared" ref="AE26:AE28" si="60">(AD26-AC26)*86400</f>
        <v>12.000000000001876</v>
      </c>
      <c r="AF26" s="4">
        <f>(AD27-M27)*86400</f>
        <v>35.999999999986443</v>
      </c>
      <c r="AG26" s="4">
        <v>3</v>
      </c>
      <c r="AH26" s="4">
        <f t="shared" si="52"/>
        <v>5</v>
      </c>
    </row>
    <row r="27" spans="1:34" x14ac:dyDescent="0.25">
      <c r="A27" s="3"/>
      <c r="B27" s="9">
        <v>43398</v>
      </c>
      <c r="C27" s="3">
        <v>3</v>
      </c>
      <c r="D27" s="3"/>
      <c r="E27" s="8"/>
      <c r="F27" s="8"/>
      <c r="G27" s="6"/>
      <c r="H27" s="2">
        <v>1</v>
      </c>
      <c r="I27" s="2"/>
      <c r="J27" s="2"/>
      <c r="K27" s="2">
        <v>1</v>
      </c>
      <c r="L27" s="10">
        <v>0.71150462962962957</v>
      </c>
      <c r="M27" s="10">
        <v>0.71152777777777787</v>
      </c>
      <c r="N27" s="2">
        <f t="shared" si="46"/>
        <v>2.0000000000131024</v>
      </c>
      <c r="O27" s="2"/>
      <c r="P27" s="2"/>
      <c r="Q27" s="2"/>
      <c r="R27" s="7"/>
      <c r="S27" s="4"/>
      <c r="T27" s="4"/>
      <c r="U27" s="4"/>
      <c r="V27" s="4"/>
      <c r="W27" s="4"/>
      <c r="X27" s="4"/>
      <c r="Y27" s="4"/>
      <c r="Z27" s="4"/>
      <c r="AA27" s="4"/>
      <c r="AB27" s="4">
        <v>4</v>
      </c>
      <c r="AC27" s="11">
        <v>0.71150462962962957</v>
      </c>
      <c r="AD27" s="11">
        <v>0.71194444444444438</v>
      </c>
      <c r="AE27" s="4">
        <f t="shared" si="60"/>
        <v>37.999999999999545</v>
      </c>
      <c r="AF27" s="4"/>
      <c r="AG27" s="4"/>
      <c r="AH27" s="4"/>
    </row>
    <row r="28" spans="1:34" x14ac:dyDescent="0.25">
      <c r="A28" s="3" t="s">
        <v>55</v>
      </c>
      <c r="B28" s="9">
        <v>43399</v>
      </c>
      <c r="C28" s="3">
        <v>2</v>
      </c>
      <c r="D28" s="3" t="s">
        <v>56</v>
      </c>
      <c r="E28" s="8">
        <v>0.52228009259259256</v>
      </c>
      <c r="F28" s="8">
        <v>0.5224537037037037</v>
      </c>
      <c r="G28" s="6">
        <f t="shared" si="19"/>
        <v>15.000000000002345</v>
      </c>
      <c r="H28" s="2">
        <v>1</v>
      </c>
      <c r="I28" s="2">
        <v>1</v>
      </c>
      <c r="J28" s="2">
        <v>102</v>
      </c>
      <c r="K28" s="2">
        <v>1</v>
      </c>
      <c r="L28" s="10">
        <v>0.52228009259259256</v>
      </c>
      <c r="M28" s="10">
        <v>0.52234953703703701</v>
      </c>
      <c r="N28" s="2">
        <f t="shared" si="46"/>
        <v>6.0000000000009379</v>
      </c>
      <c r="O28" s="2"/>
      <c r="P28" s="13">
        <f t="shared" ref="P28:P32" si="61">(L28-E28)*86400</f>
        <v>0</v>
      </c>
      <c r="Q28" s="2">
        <v>1</v>
      </c>
      <c r="R28" s="7">
        <f t="shared" si="48"/>
        <v>1.6666666666666667</v>
      </c>
      <c r="S28" s="4">
        <v>523</v>
      </c>
      <c r="T28" s="4">
        <v>218</v>
      </c>
      <c r="U28" s="4">
        <v>13.66</v>
      </c>
      <c r="V28" s="4">
        <v>11.57</v>
      </c>
      <c r="W28" s="4">
        <f t="shared" ref="W28" si="62">S28/U28</f>
        <v>38.286969253294288</v>
      </c>
      <c r="X28" s="4">
        <f t="shared" ref="X28" si="63">T28/V28</f>
        <v>18.841832324978391</v>
      </c>
      <c r="Y28" s="4">
        <f>X28-W28</f>
        <v>-19.445136928315897</v>
      </c>
      <c r="Z28" s="4">
        <f t="shared" ref="Z28:Z32" si="64">T28-S28</f>
        <v>-305</v>
      </c>
      <c r="AA28" s="4">
        <f t="shared" ref="AA28:AA33" si="65">V28-U28</f>
        <v>-2.09</v>
      </c>
      <c r="AB28" s="4">
        <v>2</v>
      </c>
      <c r="AC28" s="11">
        <v>0.52228009259259256</v>
      </c>
      <c r="AD28" s="11">
        <v>0.5224537037037037</v>
      </c>
      <c r="AE28" s="4">
        <f t="shared" si="60"/>
        <v>15.000000000002345</v>
      </c>
      <c r="AF28" s="4">
        <f>(AD28-M28)*86400</f>
        <v>9.0000000000014069</v>
      </c>
      <c r="AG28" s="4">
        <v>1</v>
      </c>
      <c r="AH28" s="4">
        <f t="shared" si="52"/>
        <v>1.6666666666666667</v>
      </c>
    </row>
    <row r="29" spans="1:34" x14ac:dyDescent="0.25">
      <c r="A29" s="3" t="s">
        <v>59</v>
      </c>
      <c r="B29" s="9">
        <v>43400</v>
      </c>
      <c r="C29" s="3">
        <v>1</v>
      </c>
      <c r="D29" s="3" t="s">
        <v>57</v>
      </c>
      <c r="E29" s="8">
        <v>0.27537037037037038</v>
      </c>
      <c r="F29" s="8">
        <v>0.27557870370370369</v>
      </c>
      <c r="G29" s="6">
        <f t="shared" si="19"/>
        <v>17.999999999998018</v>
      </c>
      <c r="H29" s="2">
        <v>2</v>
      </c>
      <c r="I29" s="2">
        <v>1</v>
      </c>
      <c r="J29" s="2">
        <v>90</v>
      </c>
      <c r="K29" s="2">
        <v>0</v>
      </c>
      <c r="L29" s="10"/>
      <c r="M29" s="10"/>
      <c r="N29" s="2">
        <f t="shared" ref="N29:N30" si="66">(M29-L29)*86400</f>
        <v>0</v>
      </c>
      <c r="O29" s="2"/>
      <c r="P29" s="13">
        <f t="shared" si="61"/>
        <v>-23792</v>
      </c>
      <c r="Q29" s="2">
        <v>0</v>
      </c>
      <c r="R29" s="7">
        <f t="shared" si="48"/>
        <v>0</v>
      </c>
      <c r="S29" s="4">
        <v>0</v>
      </c>
      <c r="T29" s="4">
        <v>0</v>
      </c>
      <c r="U29" s="4">
        <v>0</v>
      </c>
      <c r="V29" s="4">
        <v>0</v>
      </c>
      <c r="W29" s="4"/>
      <c r="X29" s="4"/>
      <c r="Y29" s="4">
        <f t="shared" ref="Y29:Y33" si="67">X29-W29</f>
        <v>0</v>
      </c>
      <c r="Z29" s="4">
        <f t="shared" si="64"/>
        <v>0</v>
      </c>
      <c r="AA29" s="4">
        <f t="shared" si="65"/>
        <v>0</v>
      </c>
      <c r="AB29" s="4">
        <v>0</v>
      </c>
      <c r="AC29" s="11"/>
      <c r="AD29" s="11"/>
      <c r="AE29" s="4">
        <f t="shared" ref="AE29:AE30" si="68">(AD29-AC29)*86400</f>
        <v>0</v>
      </c>
      <c r="AF29" s="4">
        <f>(AD29-M29)*86400</f>
        <v>0</v>
      </c>
      <c r="AG29" s="4">
        <v>0</v>
      </c>
      <c r="AH29" s="4">
        <f t="shared" ref="AH29:AH30" si="69">AG29/0.6</f>
        <v>0</v>
      </c>
    </row>
    <row r="30" spans="1:34" x14ac:dyDescent="0.25">
      <c r="A30" s="3" t="s">
        <v>59</v>
      </c>
      <c r="B30" s="9">
        <v>43400</v>
      </c>
      <c r="C30" s="3">
        <v>1</v>
      </c>
      <c r="D30" s="3" t="s">
        <v>58</v>
      </c>
      <c r="E30" s="8">
        <v>0.27688657407407408</v>
      </c>
      <c r="F30" s="8">
        <v>0.27693287037037034</v>
      </c>
      <c r="G30" s="6">
        <f t="shared" si="19"/>
        <v>3.9999999999974278</v>
      </c>
      <c r="H30" s="2">
        <v>2</v>
      </c>
      <c r="I30" s="2">
        <v>1</v>
      </c>
      <c r="J30" s="2">
        <v>90</v>
      </c>
      <c r="K30" s="2">
        <v>1</v>
      </c>
      <c r="L30" s="10">
        <v>0.27688657407407408</v>
      </c>
      <c r="M30" s="10">
        <v>0.27693287037037034</v>
      </c>
      <c r="N30" s="2">
        <f t="shared" si="66"/>
        <v>3.9999999999974278</v>
      </c>
      <c r="O30" s="2"/>
      <c r="P30" s="13">
        <f t="shared" si="61"/>
        <v>0</v>
      </c>
      <c r="Q30" s="2">
        <v>1</v>
      </c>
      <c r="R30" s="7">
        <f t="shared" si="48"/>
        <v>1.6666666666666667</v>
      </c>
      <c r="S30" s="4">
        <v>1</v>
      </c>
      <c r="T30" s="4">
        <v>1</v>
      </c>
      <c r="U30" s="4">
        <v>0</v>
      </c>
      <c r="V30" s="4">
        <v>0</v>
      </c>
      <c r="W30" s="4">
        <v>1</v>
      </c>
      <c r="X30" s="4">
        <v>1</v>
      </c>
      <c r="Y30" s="4">
        <f t="shared" si="67"/>
        <v>0</v>
      </c>
      <c r="Z30" s="4">
        <f t="shared" si="64"/>
        <v>0</v>
      </c>
      <c r="AA30" s="4">
        <f t="shared" si="65"/>
        <v>0</v>
      </c>
      <c r="AB30" s="4">
        <v>1</v>
      </c>
      <c r="AC30" s="11">
        <v>0.27688657407407408</v>
      </c>
      <c r="AD30" s="11">
        <v>0.27693287037037034</v>
      </c>
      <c r="AE30" s="4">
        <f t="shared" si="68"/>
        <v>3.9999999999974278</v>
      </c>
      <c r="AF30" s="4">
        <f>(AD30-M30)*86400</f>
        <v>0</v>
      </c>
      <c r="AG30" s="4">
        <v>0</v>
      </c>
      <c r="AH30" s="4">
        <f t="shared" si="69"/>
        <v>0</v>
      </c>
    </row>
    <row r="31" spans="1:34" x14ac:dyDescent="0.25">
      <c r="A31" s="3" t="s">
        <v>61</v>
      </c>
      <c r="B31" s="9">
        <v>43401</v>
      </c>
      <c r="C31" s="3">
        <v>1</v>
      </c>
      <c r="D31" s="3" t="s">
        <v>60</v>
      </c>
      <c r="E31" s="8">
        <v>0.27574074074074073</v>
      </c>
      <c r="F31" s="8">
        <v>0.27604166666666669</v>
      </c>
      <c r="G31" s="6">
        <f t="shared" si="19"/>
        <v>26.000000000002466</v>
      </c>
      <c r="H31" s="2">
        <v>2</v>
      </c>
      <c r="I31" s="2">
        <v>1</v>
      </c>
      <c r="J31" s="2">
        <v>64</v>
      </c>
      <c r="K31" s="2">
        <v>1</v>
      </c>
      <c r="L31" s="10">
        <v>0.27574074074074073</v>
      </c>
      <c r="M31" s="10">
        <v>0.27576388888888886</v>
      </c>
      <c r="N31" s="2">
        <f t="shared" ref="N31:N39" si="70">(M31-L31)*86400</f>
        <v>1.9999999999987139</v>
      </c>
      <c r="O31" s="2"/>
      <c r="P31" s="13">
        <f t="shared" si="61"/>
        <v>0</v>
      </c>
      <c r="Q31" s="2">
        <v>1</v>
      </c>
      <c r="R31" s="7">
        <f t="shared" ref="R31:R38" si="71">Q31/0.6</f>
        <v>1.6666666666666667</v>
      </c>
      <c r="S31" s="4">
        <v>384</v>
      </c>
      <c r="T31" s="4">
        <v>403</v>
      </c>
      <c r="U31" s="4">
        <v>13.78</v>
      </c>
      <c r="V31" s="4">
        <v>12.26</v>
      </c>
      <c r="W31" s="4">
        <f t="shared" ref="W31" si="72">S31/U31</f>
        <v>27.86647314949202</v>
      </c>
      <c r="X31" s="4">
        <f t="shared" ref="X31" si="73">T31/V31</f>
        <v>32.871125611745512</v>
      </c>
      <c r="Y31" s="4">
        <f t="shared" si="67"/>
        <v>5.0046524622534925</v>
      </c>
      <c r="Z31" s="4">
        <f t="shared" si="64"/>
        <v>19</v>
      </c>
      <c r="AA31" s="4">
        <f t="shared" si="65"/>
        <v>-1.5199999999999996</v>
      </c>
      <c r="AB31" s="4">
        <v>1</v>
      </c>
      <c r="AC31" s="11">
        <v>0.27574074074074073</v>
      </c>
      <c r="AD31" s="11">
        <v>0.27604166666666669</v>
      </c>
      <c r="AE31" s="4">
        <f t="shared" ref="AE31:AE42" si="74">(AD31-AC31)*86400</f>
        <v>26.000000000002466</v>
      </c>
      <c r="AF31" s="4">
        <f>(AD31-M31)*86400</f>
        <v>24.000000000003752</v>
      </c>
      <c r="AG31" s="4">
        <v>0</v>
      </c>
      <c r="AH31" s="4">
        <f t="shared" ref="AH31:AH35" si="75">AG31/0.6</f>
        <v>0</v>
      </c>
    </row>
    <row r="32" spans="1:34" x14ac:dyDescent="0.25">
      <c r="A32" s="3" t="s">
        <v>61</v>
      </c>
      <c r="B32" s="9">
        <v>43401</v>
      </c>
      <c r="C32" s="3">
        <v>1</v>
      </c>
      <c r="D32" s="3" t="s">
        <v>62</v>
      </c>
      <c r="E32" s="8">
        <v>0.27668981481481481</v>
      </c>
      <c r="F32" s="8">
        <v>0.27730324074074075</v>
      </c>
      <c r="G32" s="6">
        <f t="shared" si="19"/>
        <v>53.00000000000189</v>
      </c>
      <c r="H32" s="2">
        <v>2</v>
      </c>
      <c r="I32" s="2">
        <v>1</v>
      </c>
      <c r="J32" s="2">
        <v>66</v>
      </c>
      <c r="K32" s="2">
        <v>1</v>
      </c>
      <c r="L32" s="10">
        <v>0.2767013888888889</v>
      </c>
      <c r="M32" s="10">
        <v>0.27674768518518517</v>
      </c>
      <c r="N32" s="2">
        <f t="shared" si="70"/>
        <v>3.9999999999974278</v>
      </c>
      <c r="O32" s="2"/>
      <c r="P32" s="13">
        <f t="shared" si="61"/>
        <v>1.000000000001755</v>
      </c>
      <c r="Q32" s="2">
        <v>3</v>
      </c>
      <c r="R32" s="7">
        <f t="shared" si="71"/>
        <v>5</v>
      </c>
      <c r="S32" s="4">
        <v>371</v>
      </c>
      <c r="T32" s="4">
        <v>284</v>
      </c>
      <c r="U32" s="4">
        <v>11.27</v>
      </c>
      <c r="V32" s="4">
        <v>8.07</v>
      </c>
      <c r="W32" s="4">
        <f t="shared" ref="W32" si="76">S32/U32</f>
        <v>32.919254658385093</v>
      </c>
      <c r="X32" s="4">
        <f t="shared" ref="X32" si="77">T32/V32</f>
        <v>35.192069392812883</v>
      </c>
      <c r="Y32" s="4">
        <f t="shared" si="67"/>
        <v>2.27281473442779</v>
      </c>
      <c r="Z32" s="4">
        <f t="shared" si="64"/>
        <v>-87</v>
      </c>
      <c r="AA32" s="4">
        <f t="shared" si="65"/>
        <v>-3.1999999999999993</v>
      </c>
      <c r="AB32" s="4">
        <v>2</v>
      </c>
      <c r="AC32" s="11">
        <v>0.2767013888888889</v>
      </c>
      <c r="AD32" s="11">
        <v>0.27679398148148149</v>
      </c>
      <c r="AE32" s="4">
        <f t="shared" si="74"/>
        <v>7.9999999999996518</v>
      </c>
      <c r="AF32" s="4">
        <f>(AD34-M34)*86400</f>
        <v>25.000000000000711</v>
      </c>
      <c r="AG32" s="4">
        <v>4</v>
      </c>
      <c r="AH32" s="4">
        <f t="shared" si="75"/>
        <v>6.666666666666667</v>
      </c>
    </row>
    <row r="33" spans="1:34" x14ac:dyDescent="0.25">
      <c r="A33" s="3"/>
      <c r="B33" s="9">
        <v>43401</v>
      </c>
      <c r="C33" s="3">
        <v>1</v>
      </c>
      <c r="D33" s="3"/>
      <c r="E33" s="8"/>
      <c r="F33" s="8"/>
      <c r="G33" s="6"/>
      <c r="H33" s="2">
        <v>2</v>
      </c>
      <c r="I33" s="2"/>
      <c r="J33" s="2"/>
      <c r="K33" s="2">
        <v>1</v>
      </c>
      <c r="L33" s="10">
        <v>0.27677083333333335</v>
      </c>
      <c r="M33" s="10">
        <v>0.27681712962962962</v>
      </c>
      <c r="N33" s="2">
        <f t="shared" si="70"/>
        <v>3.9999999999974278</v>
      </c>
      <c r="O33" s="2"/>
      <c r="P33" s="2"/>
      <c r="Q33" s="2"/>
      <c r="R33" s="7"/>
      <c r="S33" s="4">
        <v>281</v>
      </c>
      <c r="T33" s="4">
        <v>152</v>
      </c>
      <c r="U33" s="4">
        <v>7.07</v>
      </c>
      <c r="V33" s="4">
        <v>2.87</v>
      </c>
      <c r="W33" s="4">
        <f t="shared" ref="W33" si="78">S33/U33</f>
        <v>39.745403111739741</v>
      </c>
      <c r="X33" s="4">
        <f t="shared" ref="X33" si="79">T33/V33</f>
        <v>52.961672473867594</v>
      </c>
      <c r="Y33" s="4">
        <f t="shared" si="67"/>
        <v>13.216269362127854</v>
      </c>
      <c r="Z33" s="4"/>
      <c r="AA33" s="4">
        <f t="shared" si="65"/>
        <v>-4.2</v>
      </c>
      <c r="AB33" s="4">
        <v>3</v>
      </c>
      <c r="AC33" s="11">
        <v>0.27679398148148149</v>
      </c>
      <c r="AD33" s="11">
        <v>0.27696759259259257</v>
      </c>
      <c r="AE33" s="4">
        <f t="shared" si="74"/>
        <v>14.999999999997549</v>
      </c>
      <c r="AF33" s="4"/>
      <c r="AG33" s="4"/>
      <c r="AH33" s="4"/>
    </row>
    <row r="34" spans="1:34" x14ac:dyDescent="0.25">
      <c r="A34" s="3"/>
      <c r="B34" s="9">
        <v>43401</v>
      </c>
      <c r="C34" s="3">
        <v>1</v>
      </c>
      <c r="D34" s="3"/>
      <c r="E34" s="8"/>
      <c r="F34" s="8"/>
      <c r="G34" s="6"/>
      <c r="H34" s="2">
        <v>2</v>
      </c>
      <c r="I34" s="2"/>
      <c r="J34" s="2"/>
      <c r="K34" s="2">
        <v>1</v>
      </c>
      <c r="L34" s="10">
        <v>0.27696759259259257</v>
      </c>
      <c r="M34" s="10">
        <v>0.27701388888888889</v>
      </c>
      <c r="N34" s="2">
        <f t="shared" si="70"/>
        <v>4.000000000002224</v>
      </c>
      <c r="O34" s="2"/>
      <c r="P34" s="2"/>
      <c r="Q34" s="2"/>
      <c r="R34" s="7"/>
      <c r="S34" s="4"/>
      <c r="T34" s="4"/>
      <c r="U34" s="4"/>
      <c r="V34" s="4"/>
      <c r="W34" s="4"/>
      <c r="X34" s="4"/>
      <c r="Y34" s="4"/>
      <c r="Z34" s="4"/>
      <c r="AA34" s="4"/>
      <c r="AB34" s="4">
        <v>2</v>
      </c>
      <c r="AC34" s="11">
        <v>0.27696759259259257</v>
      </c>
      <c r="AD34" s="11">
        <v>0.27730324074074075</v>
      </c>
      <c r="AE34" s="4">
        <f t="shared" si="74"/>
        <v>29.000000000002935</v>
      </c>
      <c r="AF34" s="4"/>
      <c r="AG34" s="4"/>
      <c r="AH34" s="4"/>
    </row>
    <row r="35" spans="1:34" x14ac:dyDescent="0.25">
      <c r="A35" s="3" t="s">
        <v>64</v>
      </c>
      <c r="B35" s="9">
        <v>43401</v>
      </c>
      <c r="C35" s="3">
        <v>1</v>
      </c>
      <c r="D35" s="3" t="s">
        <v>63</v>
      </c>
      <c r="E35" s="8">
        <v>0.29158564814814814</v>
      </c>
      <c r="F35" s="8">
        <v>0.29192129629629632</v>
      </c>
      <c r="G35" s="6">
        <f t="shared" si="19"/>
        <v>29.000000000002935</v>
      </c>
      <c r="H35" s="2">
        <v>2</v>
      </c>
      <c r="I35" s="2">
        <v>1</v>
      </c>
      <c r="J35" s="2">
        <v>58</v>
      </c>
      <c r="K35" s="2">
        <v>0</v>
      </c>
      <c r="L35" s="10"/>
      <c r="M35" s="10"/>
      <c r="N35" s="2">
        <f t="shared" si="70"/>
        <v>0</v>
      </c>
      <c r="O35" s="2"/>
      <c r="P35" s="13">
        <f t="shared" ref="P35:P40" si="80">(L35-E35)*86400</f>
        <v>-25193</v>
      </c>
      <c r="Q35" s="2">
        <v>0</v>
      </c>
      <c r="R35" s="7">
        <f t="shared" si="71"/>
        <v>0</v>
      </c>
      <c r="S35" s="4">
        <v>314</v>
      </c>
      <c r="T35" s="4">
        <v>377</v>
      </c>
      <c r="U35" s="4">
        <v>7.26</v>
      </c>
      <c r="V35" s="4">
        <v>7.17</v>
      </c>
      <c r="W35" s="4">
        <f t="shared" ref="W35" si="81">S35/U35</f>
        <v>43.250688705234161</v>
      </c>
      <c r="X35" s="4">
        <f t="shared" ref="X35" si="82">T35/V35</f>
        <v>52.580195258019529</v>
      </c>
      <c r="Y35" s="4">
        <f t="shared" ref="Y35:Y44" si="83">X35-W35</f>
        <v>9.329506552785368</v>
      </c>
      <c r="Z35" s="4">
        <f t="shared" ref="Z35:Z40" si="84">T35-S35</f>
        <v>63</v>
      </c>
      <c r="AA35" s="4">
        <f t="shared" ref="AA35" si="85">V35-U35</f>
        <v>-8.9999999999999858E-2</v>
      </c>
      <c r="AB35" s="4">
        <v>6</v>
      </c>
      <c r="AC35" s="11">
        <v>0.29158564814814814</v>
      </c>
      <c r="AD35" s="11">
        <v>0.29192129629629632</v>
      </c>
      <c r="AE35" s="4">
        <f t="shared" si="74"/>
        <v>29.000000000002935</v>
      </c>
      <c r="AF35" s="4">
        <f>(AD35-M35)*86400</f>
        <v>25222.000000000004</v>
      </c>
      <c r="AG35" s="4">
        <v>0</v>
      </c>
      <c r="AH35" s="4">
        <f t="shared" si="75"/>
        <v>0</v>
      </c>
    </row>
    <row r="36" spans="1:34" x14ac:dyDescent="0.25">
      <c r="A36" s="3" t="s">
        <v>65</v>
      </c>
      <c r="B36" s="9">
        <v>43401</v>
      </c>
      <c r="C36" s="3">
        <v>3</v>
      </c>
      <c r="D36" s="3" t="s">
        <v>66</v>
      </c>
      <c r="E36" s="8">
        <v>0.71773148148148147</v>
      </c>
      <c r="F36" s="8">
        <v>0.71780092592592604</v>
      </c>
      <c r="G36" s="6">
        <f t="shared" si="19"/>
        <v>6.0000000000105302</v>
      </c>
      <c r="H36" s="2">
        <v>2</v>
      </c>
      <c r="I36" s="2">
        <v>1</v>
      </c>
      <c r="J36" s="2">
        <v>120</v>
      </c>
      <c r="K36" s="2">
        <v>0</v>
      </c>
      <c r="L36" s="10"/>
      <c r="M36" s="10"/>
      <c r="N36" s="2">
        <f t="shared" si="70"/>
        <v>0</v>
      </c>
      <c r="O36" s="2"/>
      <c r="P36" s="13">
        <f t="shared" si="80"/>
        <v>-62012</v>
      </c>
      <c r="Q36" s="2">
        <v>0</v>
      </c>
      <c r="R36" s="7">
        <f t="shared" si="71"/>
        <v>0</v>
      </c>
      <c r="S36" s="4">
        <v>1</v>
      </c>
      <c r="T36" s="4">
        <v>1</v>
      </c>
      <c r="U36" s="4">
        <v>0</v>
      </c>
      <c r="V36" s="4">
        <v>0</v>
      </c>
      <c r="W36" s="4"/>
      <c r="X36" s="4"/>
      <c r="Y36" s="4">
        <f t="shared" si="83"/>
        <v>0</v>
      </c>
      <c r="Z36" s="4">
        <f t="shared" si="84"/>
        <v>0</v>
      </c>
      <c r="AA36" s="4"/>
      <c r="AB36" s="4">
        <v>0</v>
      </c>
      <c r="AC36" s="11"/>
      <c r="AD36" s="11"/>
      <c r="AE36" s="4">
        <f t="shared" si="74"/>
        <v>0</v>
      </c>
      <c r="AF36" s="4">
        <f>(AD36-M36)*86400</f>
        <v>0</v>
      </c>
      <c r="AG36" s="4">
        <v>0</v>
      </c>
      <c r="AH36" s="4">
        <f t="shared" ref="AH36:AH42" si="86">AG36/0.6</f>
        <v>0</v>
      </c>
    </row>
    <row r="37" spans="1:34" x14ac:dyDescent="0.25">
      <c r="A37" s="3" t="s">
        <v>69</v>
      </c>
      <c r="B37" s="9">
        <v>43401</v>
      </c>
      <c r="C37" s="3">
        <v>3</v>
      </c>
      <c r="D37" s="3" t="s">
        <v>67</v>
      </c>
      <c r="E37" s="8">
        <v>0.72766203703703702</v>
      </c>
      <c r="F37" s="8">
        <v>0.72771990740740744</v>
      </c>
      <c r="G37" s="6">
        <f t="shared" si="19"/>
        <v>5.000000000003979</v>
      </c>
      <c r="H37" s="2">
        <v>2</v>
      </c>
      <c r="I37" s="2">
        <v>1</v>
      </c>
      <c r="J37" s="2">
        <v>98</v>
      </c>
      <c r="K37" s="2">
        <v>0</v>
      </c>
      <c r="L37" s="10"/>
      <c r="M37" s="10"/>
      <c r="N37" s="2">
        <f t="shared" si="70"/>
        <v>0</v>
      </c>
      <c r="O37" s="2"/>
      <c r="P37" s="13">
        <f t="shared" si="80"/>
        <v>-62870</v>
      </c>
      <c r="Q37" s="2">
        <v>0</v>
      </c>
      <c r="R37" s="7">
        <f t="shared" si="71"/>
        <v>0</v>
      </c>
      <c r="S37" s="4">
        <v>0</v>
      </c>
      <c r="T37" s="4">
        <v>0</v>
      </c>
      <c r="U37" s="4">
        <v>0</v>
      </c>
      <c r="V37" s="4">
        <v>0</v>
      </c>
      <c r="W37" s="4"/>
      <c r="X37" s="4"/>
      <c r="Y37" s="4">
        <f t="shared" si="83"/>
        <v>0</v>
      </c>
      <c r="Z37" s="4">
        <f t="shared" si="84"/>
        <v>0</v>
      </c>
      <c r="AA37" s="4"/>
      <c r="AB37" s="4">
        <v>0</v>
      </c>
      <c r="AC37" s="11"/>
      <c r="AD37" s="11"/>
      <c r="AE37" s="4">
        <f t="shared" si="74"/>
        <v>0</v>
      </c>
      <c r="AF37" s="4">
        <f>(AD37-M37)*86400</f>
        <v>0</v>
      </c>
      <c r="AG37" s="4">
        <v>0</v>
      </c>
      <c r="AH37" s="4">
        <f t="shared" si="86"/>
        <v>0</v>
      </c>
    </row>
    <row r="38" spans="1:34" x14ac:dyDescent="0.25">
      <c r="A38" s="3" t="s">
        <v>69</v>
      </c>
      <c r="B38" s="9">
        <v>43401</v>
      </c>
      <c r="C38" s="3">
        <v>3</v>
      </c>
      <c r="D38" s="3" t="s">
        <v>68</v>
      </c>
      <c r="E38" s="8">
        <v>0.72843750000000007</v>
      </c>
      <c r="F38" s="8">
        <v>0.72848379629629623</v>
      </c>
      <c r="G38" s="6">
        <f t="shared" si="19"/>
        <v>3.9999999999878355</v>
      </c>
      <c r="H38" s="2">
        <v>2</v>
      </c>
      <c r="I38" s="2">
        <v>1</v>
      </c>
      <c r="J38" s="2">
        <v>98</v>
      </c>
      <c r="K38" s="2">
        <v>0</v>
      </c>
      <c r="L38" s="10"/>
      <c r="M38" s="10"/>
      <c r="N38" s="2">
        <f t="shared" si="70"/>
        <v>0</v>
      </c>
      <c r="O38" s="2"/>
      <c r="P38" s="13">
        <f t="shared" si="80"/>
        <v>-62937.000000000007</v>
      </c>
      <c r="Q38" s="2">
        <v>0</v>
      </c>
      <c r="R38" s="7">
        <f t="shared" si="71"/>
        <v>0</v>
      </c>
      <c r="S38" s="4">
        <v>0</v>
      </c>
      <c r="T38" s="4">
        <v>0</v>
      </c>
      <c r="U38" s="4">
        <v>0</v>
      </c>
      <c r="V38" s="4">
        <v>0</v>
      </c>
      <c r="W38" s="4"/>
      <c r="X38" s="4"/>
      <c r="Y38" s="4">
        <f t="shared" si="83"/>
        <v>0</v>
      </c>
      <c r="Z38" s="4">
        <f t="shared" si="84"/>
        <v>0</v>
      </c>
      <c r="AA38" s="4"/>
      <c r="AB38" s="4">
        <v>0</v>
      </c>
      <c r="AC38" s="11"/>
      <c r="AD38" s="11"/>
      <c r="AE38" s="4">
        <f t="shared" si="74"/>
        <v>0</v>
      </c>
      <c r="AF38" s="4">
        <f>(AD38-M38)*86400</f>
        <v>0</v>
      </c>
      <c r="AG38" s="4">
        <v>0</v>
      </c>
      <c r="AH38" s="4">
        <f t="shared" si="86"/>
        <v>0</v>
      </c>
    </row>
    <row r="39" spans="1:34" x14ac:dyDescent="0.25">
      <c r="A39" s="3" t="s">
        <v>70</v>
      </c>
      <c r="B39" s="9">
        <v>43402</v>
      </c>
      <c r="C39" s="3">
        <v>1</v>
      </c>
      <c r="D39" s="3" t="s">
        <v>71</v>
      </c>
      <c r="E39" s="8">
        <v>0.27604166666666669</v>
      </c>
      <c r="F39" s="8">
        <v>0.27638888888888885</v>
      </c>
      <c r="G39" s="6">
        <f t="shared" si="19"/>
        <v>29.999999999995097</v>
      </c>
      <c r="H39" s="2">
        <v>2</v>
      </c>
      <c r="I39" s="2">
        <v>1</v>
      </c>
      <c r="J39" s="2">
        <v>78</v>
      </c>
      <c r="K39" s="2">
        <v>1</v>
      </c>
      <c r="L39" s="10">
        <v>0.27604166666666669</v>
      </c>
      <c r="M39" s="10">
        <v>0.27615740740740741</v>
      </c>
      <c r="N39" s="2">
        <f t="shared" si="70"/>
        <v>9.9999999999983658</v>
      </c>
      <c r="O39" s="2"/>
      <c r="P39" s="13">
        <f t="shared" si="80"/>
        <v>0</v>
      </c>
      <c r="Q39" s="2">
        <v>1</v>
      </c>
      <c r="R39" s="7">
        <f t="shared" ref="R39" si="87">Q39/0.6</f>
        <v>1.6666666666666667</v>
      </c>
      <c r="S39" s="4">
        <v>364</v>
      </c>
      <c r="T39" s="4">
        <v>435</v>
      </c>
      <c r="U39" s="4">
        <v>11.34</v>
      </c>
      <c r="V39" s="4">
        <v>12.27</v>
      </c>
      <c r="W39" s="4">
        <f t="shared" ref="W39" si="88">S39/U39</f>
        <v>32.098765432098766</v>
      </c>
      <c r="X39" s="4">
        <f t="shared" ref="X39" si="89">T39/V39</f>
        <v>35.452322738386307</v>
      </c>
      <c r="Y39" s="4">
        <f t="shared" si="83"/>
        <v>3.3535573062875415</v>
      </c>
      <c r="Z39" s="4">
        <f t="shared" si="84"/>
        <v>71</v>
      </c>
      <c r="AA39" s="4">
        <f t="shared" ref="AA39" si="90">V39-U39</f>
        <v>0.92999999999999972</v>
      </c>
      <c r="AB39" s="4">
        <v>1</v>
      </c>
      <c r="AC39" s="11">
        <v>0.27604166666666669</v>
      </c>
      <c r="AD39" s="11">
        <v>0.27638888888888885</v>
      </c>
      <c r="AE39" s="4">
        <f t="shared" si="74"/>
        <v>29.999999999995097</v>
      </c>
      <c r="AF39" s="4">
        <f>(AD39-M39)*86400</f>
        <v>19.999999999996732</v>
      </c>
      <c r="AG39" s="4">
        <v>3</v>
      </c>
      <c r="AH39" s="4">
        <f t="shared" si="86"/>
        <v>5</v>
      </c>
    </row>
    <row r="40" spans="1:34" x14ac:dyDescent="0.25">
      <c r="A40" s="3" t="s">
        <v>73</v>
      </c>
      <c r="B40" s="9">
        <v>43402</v>
      </c>
      <c r="C40" s="3">
        <v>1</v>
      </c>
      <c r="D40" s="3" t="s">
        <v>72</v>
      </c>
      <c r="E40" s="8">
        <v>0.29185185185185186</v>
      </c>
      <c r="F40" s="8">
        <v>0.29216435185185186</v>
      </c>
      <c r="G40" s="6">
        <f t="shared" si="19"/>
        <v>26.999999999999424</v>
      </c>
      <c r="H40" s="2">
        <v>2</v>
      </c>
      <c r="I40" s="2">
        <v>1</v>
      </c>
      <c r="J40" s="2">
        <v>93</v>
      </c>
      <c r="K40" s="2">
        <v>1</v>
      </c>
      <c r="L40" s="10">
        <v>0.29185185185185186</v>
      </c>
      <c r="M40" s="10">
        <v>0.29190972222222222</v>
      </c>
      <c r="N40" s="2">
        <f t="shared" ref="N40:N41" si="91">(M40-L40)*86400</f>
        <v>4.9999999999991829</v>
      </c>
      <c r="O40" s="2"/>
      <c r="P40" s="13">
        <f t="shared" si="80"/>
        <v>0</v>
      </c>
      <c r="Q40" s="2">
        <v>2</v>
      </c>
      <c r="R40" s="7">
        <f t="shared" ref="R40:R87" si="92">Q40/0.6</f>
        <v>3.3333333333333335</v>
      </c>
      <c r="S40" s="4">
        <v>336</v>
      </c>
      <c r="T40" s="4">
        <v>576</v>
      </c>
      <c r="U40" s="4">
        <v>7.65</v>
      </c>
      <c r="V40" s="4">
        <v>12.89</v>
      </c>
      <c r="W40" s="4">
        <f t="shared" ref="W40" si="93">S40/U40</f>
        <v>43.921568627450981</v>
      </c>
      <c r="X40" s="4">
        <f t="shared" ref="X40" si="94">T40/V40</f>
        <v>44.685802948021717</v>
      </c>
      <c r="Y40" s="4">
        <f t="shared" si="83"/>
        <v>0.76423432057073626</v>
      </c>
      <c r="Z40" s="4">
        <f t="shared" si="84"/>
        <v>240</v>
      </c>
      <c r="AA40" s="4">
        <f t="shared" ref="AA40" si="95">V40-U40</f>
        <v>5.24</v>
      </c>
      <c r="AB40" s="4">
        <v>1</v>
      </c>
      <c r="AC40" s="11">
        <v>0.29185185185185186</v>
      </c>
      <c r="AD40" s="11">
        <v>0.29190972222222222</v>
      </c>
      <c r="AE40" s="4">
        <f t="shared" si="74"/>
        <v>4.9999999999991829</v>
      </c>
      <c r="AF40" s="4">
        <f>(AD41-M41)*86400</f>
        <v>12.999999999998835</v>
      </c>
      <c r="AG40" s="4">
        <v>2</v>
      </c>
      <c r="AH40" s="4">
        <f t="shared" si="86"/>
        <v>3.3333333333333335</v>
      </c>
    </row>
    <row r="41" spans="1:34" x14ac:dyDescent="0.25">
      <c r="A41" s="3"/>
      <c r="B41" s="9">
        <v>43402</v>
      </c>
      <c r="C41" s="3">
        <v>1</v>
      </c>
      <c r="D41" s="3"/>
      <c r="E41" s="8"/>
      <c r="F41" s="8"/>
      <c r="G41" s="6"/>
      <c r="H41" s="2">
        <v>2</v>
      </c>
      <c r="I41" s="2"/>
      <c r="J41" s="2"/>
      <c r="K41" s="2">
        <v>1</v>
      </c>
      <c r="L41" s="10">
        <v>0.29195601851851855</v>
      </c>
      <c r="M41" s="10">
        <v>0.29201388888888891</v>
      </c>
      <c r="N41" s="2">
        <f t="shared" si="91"/>
        <v>4.9999999999991829</v>
      </c>
      <c r="O41" s="2"/>
      <c r="P41" s="2"/>
      <c r="Q41" s="2"/>
      <c r="R41" s="7"/>
      <c r="S41" s="4">
        <v>202</v>
      </c>
      <c r="T41" s="4">
        <v>101</v>
      </c>
      <c r="U41" s="4">
        <v>5.07</v>
      </c>
      <c r="V41" s="4">
        <v>2.02</v>
      </c>
      <c r="W41" s="4">
        <f t="shared" ref="W41" si="96">S41/U41</f>
        <v>39.842209072978299</v>
      </c>
      <c r="X41" s="4">
        <f t="shared" ref="X41" si="97">T41/V41</f>
        <v>50</v>
      </c>
      <c r="Y41" s="4">
        <f t="shared" si="83"/>
        <v>10.157790927021701</v>
      </c>
      <c r="Z41" s="4"/>
      <c r="AA41" s="4">
        <f t="shared" ref="AA41:AA45" si="98">V41-U41</f>
        <v>-3.0500000000000003</v>
      </c>
      <c r="AB41" s="4">
        <v>2</v>
      </c>
      <c r="AC41" s="11">
        <v>0.29192129629629632</v>
      </c>
      <c r="AD41" s="11">
        <v>0.29216435185185186</v>
      </c>
      <c r="AE41" s="4">
        <f t="shared" si="74"/>
        <v>20.999999999998487</v>
      </c>
      <c r="AF41" s="4"/>
      <c r="AG41" s="4"/>
      <c r="AH41" s="4"/>
    </row>
    <row r="42" spans="1:34" x14ac:dyDescent="0.25">
      <c r="A42" s="3" t="s">
        <v>74</v>
      </c>
      <c r="B42" s="9">
        <v>43402</v>
      </c>
      <c r="C42" s="3">
        <v>2</v>
      </c>
      <c r="D42" s="3" t="s">
        <v>75</v>
      </c>
      <c r="E42" s="8">
        <v>0.47989583333333335</v>
      </c>
      <c r="F42" s="8">
        <v>0.47997685185185185</v>
      </c>
      <c r="G42" s="6">
        <f t="shared" si="19"/>
        <v>6.9999999999978968</v>
      </c>
      <c r="H42" s="2">
        <v>1</v>
      </c>
      <c r="I42" s="2">
        <v>1</v>
      </c>
      <c r="J42" s="2">
        <v>87</v>
      </c>
      <c r="K42" s="2">
        <v>1</v>
      </c>
      <c r="L42" s="10">
        <v>0.47989583333333335</v>
      </c>
      <c r="M42" s="10">
        <v>0.47997685185185185</v>
      </c>
      <c r="N42" s="2">
        <f t="shared" ref="N42:N102" si="99">(M42-L42)*86400</f>
        <v>6.9999999999978968</v>
      </c>
      <c r="O42" s="2"/>
      <c r="P42" s="13">
        <f t="shared" ref="P42:P45" si="100">(L42-E42)*86400</f>
        <v>0</v>
      </c>
      <c r="Q42" s="2">
        <v>1</v>
      </c>
      <c r="R42" s="7">
        <f t="shared" si="92"/>
        <v>1.6666666666666667</v>
      </c>
      <c r="S42" s="4">
        <v>38</v>
      </c>
      <c r="T42" s="4">
        <v>0</v>
      </c>
      <c r="U42" s="4">
        <v>1.28</v>
      </c>
      <c r="V42" s="4">
        <v>0</v>
      </c>
      <c r="W42" s="4">
        <f t="shared" ref="W42:W45" si="101">S42/U42</f>
        <v>29.6875</v>
      </c>
      <c r="X42" s="4">
        <v>0</v>
      </c>
      <c r="Y42" s="4">
        <f>X42-W42</f>
        <v>-29.6875</v>
      </c>
      <c r="Z42" s="4">
        <f t="shared" ref="Z42:Z45" si="102">T42-S42</f>
        <v>-38</v>
      </c>
      <c r="AA42" s="4">
        <f t="shared" si="98"/>
        <v>-1.28</v>
      </c>
      <c r="AB42" s="4">
        <v>5</v>
      </c>
      <c r="AC42" s="11">
        <v>0.47989583333333335</v>
      </c>
      <c r="AD42" s="11">
        <v>0.47998842592592594</v>
      </c>
      <c r="AE42" s="4">
        <f t="shared" si="74"/>
        <v>7.9999999999996518</v>
      </c>
      <c r="AF42" s="4">
        <f>(AD42-M42)*86400</f>
        <v>1.000000000001755</v>
      </c>
      <c r="AG42" s="4">
        <v>1</v>
      </c>
      <c r="AH42" s="4">
        <f t="shared" si="86"/>
        <v>1.6666666666666667</v>
      </c>
    </row>
    <row r="43" spans="1:34" x14ac:dyDescent="0.25">
      <c r="A43" s="3" t="s">
        <v>77</v>
      </c>
      <c r="B43" s="9">
        <v>43402</v>
      </c>
      <c r="C43" s="3">
        <v>2</v>
      </c>
      <c r="D43" s="3" t="s">
        <v>76</v>
      </c>
      <c r="E43" s="8">
        <v>0.49047453703703708</v>
      </c>
      <c r="F43" s="8">
        <v>0.49075231481481479</v>
      </c>
      <c r="G43" s="6">
        <f t="shared" si="19"/>
        <v>23.999999999994159</v>
      </c>
      <c r="H43" s="2">
        <v>2</v>
      </c>
      <c r="I43" s="2">
        <v>1</v>
      </c>
      <c r="J43" s="2">
        <v>103</v>
      </c>
      <c r="K43" s="2">
        <v>1</v>
      </c>
      <c r="L43" s="10">
        <v>0.49047453703703708</v>
      </c>
      <c r="M43" s="10">
        <v>0.49053240740740739</v>
      </c>
      <c r="N43" s="2">
        <f t="shared" si="99"/>
        <v>4.9999999999943867</v>
      </c>
      <c r="O43" s="2"/>
      <c r="P43" s="13">
        <f t="shared" si="100"/>
        <v>0</v>
      </c>
      <c r="Q43" s="2">
        <v>1</v>
      </c>
      <c r="R43" s="7">
        <f t="shared" si="92"/>
        <v>1.6666666666666667</v>
      </c>
      <c r="S43" s="4">
        <v>101</v>
      </c>
      <c r="T43" s="4">
        <v>29</v>
      </c>
      <c r="U43" s="4">
        <v>2.96</v>
      </c>
      <c r="V43" s="4">
        <v>0.47</v>
      </c>
      <c r="W43" s="4">
        <f t="shared" si="101"/>
        <v>34.121621621621621</v>
      </c>
      <c r="X43" s="4">
        <f t="shared" ref="X43:X45" si="103">T43/V43</f>
        <v>61.702127659574472</v>
      </c>
      <c r="Y43" s="4">
        <f t="shared" si="83"/>
        <v>27.580506037952851</v>
      </c>
      <c r="Z43" s="4">
        <f t="shared" si="102"/>
        <v>-72</v>
      </c>
      <c r="AA43" s="4">
        <f t="shared" si="98"/>
        <v>-2.4900000000000002</v>
      </c>
      <c r="AB43" s="4">
        <v>2</v>
      </c>
      <c r="AC43" s="11">
        <v>0.49047453703703708</v>
      </c>
      <c r="AD43" s="11">
        <v>0.49075231481481479</v>
      </c>
      <c r="AE43" s="4">
        <f t="shared" ref="AE43:AE46" si="104">(AD43-AC43)*86400</f>
        <v>23.999999999994159</v>
      </c>
      <c r="AF43" s="4">
        <f>(AD43-M43)*86400</f>
        <v>18.999999999999773</v>
      </c>
      <c r="AG43" s="4">
        <v>2</v>
      </c>
      <c r="AH43" s="4">
        <f t="shared" ref="AH43:AH45" si="105">AG43/0.6</f>
        <v>3.3333333333333335</v>
      </c>
    </row>
    <row r="44" spans="1:34" x14ac:dyDescent="0.25">
      <c r="A44" s="3" t="s">
        <v>78</v>
      </c>
      <c r="B44" s="9">
        <v>43402</v>
      </c>
      <c r="C44" s="3">
        <v>3</v>
      </c>
      <c r="D44" s="3" t="s">
        <v>79</v>
      </c>
      <c r="E44" s="8">
        <v>0.6504050925925926</v>
      </c>
      <c r="F44" s="8">
        <v>0.65069444444444446</v>
      </c>
      <c r="G44" s="6">
        <f t="shared" si="19"/>
        <v>25.000000000000711</v>
      </c>
      <c r="H44" s="2">
        <v>2</v>
      </c>
      <c r="I44" s="2">
        <v>1</v>
      </c>
      <c r="J44" s="2">
        <v>82</v>
      </c>
      <c r="K44" s="2">
        <v>1</v>
      </c>
      <c r="L44" s="10">
        <v>0.6504050925925926</v>
      </c>
      <c r="M44" s="10">
        <v>0.65043981481481483</v>
      </c>
      <c r="N44" s="2">
        <f t="shared" si="99"/>
        <v>3.000000000000469</v>
      </c>
      <c r="O44" s="2"/>
      <c r="P44" s="13">
        <f t="shared" si="100"/>
        <v>0</v>
      </c>
      <c r="Q44" s="2">
        <v>1</v>
      </c>
      <c r="R44" s="7">
        <f t="shared" si="92"/>
        <v>1.6666666666666667</v>
      </c>
      <c r="S44" s="4">
        <v>274</v>
      </c>
      <c r="T44" s="4">
        <v>249</v>
      </c>
      <c r="U44" s="4">
        <v>8.94</v>
      </c>
      <c r="V44" s="4">
        <v>6.15</v>
      </c>
      <c r="W44" s="4">
        <f t="shared" si="101"/>
        <v>30.648769574944073</v>
      </c>
      <c r="X44" s="4">
        <f t="shared" si="103"/>
        <v>40.487804878048777</v>
      </c>
      <c r="Y44" s="4">
        <f t="shared" si="83"/>
        <v>9.8390353031047049</v>
      </c>
      <c r="Z44" s="4">
        <f t="shared" si="102"/>
        <v>-25</v>
      </c>
      <c r="AA44" s="4">
        <f t="shared" si="98"/>
        <v>-2.7899999999999991</v>
      </c>
      <c r="AB44" s="4">
        <v>2</v>
      </c>
      <c r="AC44" s="11">
        <v>0.6504050925925926</v>
      </c>
      <c r="AD44" s="11">
        <v>0.65069444444444446</v>
      </c>
      <c r="AE44" s="4">
        <f t="shared" si="104"/>
        <v>25.000000000000711</v>
      </c>
      <c r="AF44" s="4">
        <f>(AD44-M44)*86400</f>
        <v>22.000000000000242</v>
      </c>
      <c r="AG44" s="4">
        <v>4</v>
      </c>
      <c r="AH44" s="4">
        <f t="shared" si="105"/>
        <v>6.666666666666667</v>
      </c>
    </row>
    <row r="45" spans="1:34" x14ac:dyDescent="0.25">
      <c r="A45" s="3" t="s">
        <v>81</v>
      </c>
      <c r="B45" s="9">
        <v>43402</v>
      </c>
      <c r="C45" s="3">
        <v>3</v>
      </c>
      <c r="D45" s="3" t="s">
        <v>80</v>
      </c>
      <c r="E45" s="8">
        <v>0.65357638888888892</v>
      </c>
      <c r="F45" s="8">
        <v>0.65435185185185185</v>
      </c>
      <c r="G45" s="6">
        <f t="shared" si="19"/>
        <v>66.999999999997684</v>
      </c>
      <c r="H45" s="2">
        <v>1</v>
      </c>
      <c r="I45" s="2">
        <v>1</v>
      </c>
      <c r="J45" s="2">
        <v>79</v>
      </c>
      <c r="K45" s="2">
        <v>1</v>
      </c>
      <c r="L45" s="10">
        <v>0.65357638888888892</v>
      </c>
      <c r="M45" s="10">
        <v>0.65364583333333337</v>
      </c>
      <c r="N45" s="2">
        <f t="shared" si="99"/>
        <v>6.0000000000009379</v>
      </c>
      <c r="O45" s="2"/>
      <c r="P45" s="13">
        <f t="shared" si="100"/>
        <v>0</v>
      </c>
      <c r="Q45" s="2">
        <v>2</v>
      </c>
      <c r="R45" s="7">
        <f t="shared" si="92"/>
        <v>3.3333333333333335</v>
      </c>
      <c r="S45" s="4">
        <v>277</v>
      </c>
      <c r="T45" s="4">
        <v>203</v>
      </c>
      <c r="U45" s="4">
        <v>8.02</v>
      </c>
      <c r="V45" s="4">
        <v>6.06</v>
      </c>
      <c r="W45" s="4">
        <f t="shared" si="101"/>
        <v>34.538653366583546</v>
      </c>
      <c r="X45" s="4">
        <f t="shared" si="103"/>
        <v>33.4983498349835</v>
      </c>
      <c r="Y45" s="4">
        <f>X45-W45</f>
        <v>-1.0403035316000455</v>
      </c>
      <c r="Z45" s="4">
        <f t="shared" si="102"/>
        <v>-74</v>
      </c>
      <c r="AA45" s="4">
        <f t="shared" si="98"/>
        <v>-1.96</v>
      </c>
      <c r="AB45" s="4">
        <v>1</v>
      </c>
      <c r="AC45" s="11">
        <v>0.65357638888888892</v>
      </c>
      <c r="AD45" s="11">
        <v>0.65376157407407409</v>
      </c>
      <c r="AE45" s="4">
        <f t="shared" si="104"/>
        <v>15.999999999999304</v>
      </c>
      <c r="AF45" s="4">
        <f>(AD46-M46)*86400</f>
        <v>44.999999999997442</v>
      </c>
      <c r="AG45" s="4">
        <v>2</v>
      </c>
      <c r="AH45" s="4">
        <f t="shared" si="105"/>
        <v>3.3333333333333335</v>
      </c>
    </row>
    <row r="46" spans="1:34" x14ac:dyDescent="0.25">
      <c r="A46" s="3"/>
      <c r="B46" s="9">
        <v>43402</v>
      </c>
      <c r="C46" s="3">
        <v>3</v>
      </c>
      <c r="D46" s="3"/>
      <c r="E46" s="8"/>
      <c r="F46" s="8"/>
      <c r="G46" s="6"/>
      <c r="H46" s="2">
        <v>2</v>
      </c>
      <c r="I46" s="2"/>
      <c r="J46" s="2"/>
      <c r="K46" s="2">
        <v>1</v>
      </c>
      <c r="L46" s="10">
        <v>0.65378472222222228</v>
      </c>
      <c r="M46" s="10">
        <v>0.65383101851851855</v>
      </c>
      <c r="N46" s="2">
        <f t="shared" si="99"/>
        <v>3.9999999999974278</v>
      </c>
      <c r="O46" s="2"/>
      <c r="P46" s="2"/>
      <c r="Q46" s="2"/>
      <c r="R46" s="7"/>
      <c r="S46" s="4"/>
      <c r="T46" s="4"/>
      <c r="U46" s="4"/>
      <c r="V46" s="4"/>
      <c r="W46" s="4"/>
      <c r="X46" s="4"/>
      <c r="Y46" s="4"/>
      <c r="Z46" s="4"/>
      <c r="AA46" s="4"/>
      <c r="AB46" s="4">
        <v>3</v>
      </c>
      <c r="AC46" s="11">
        <v>0.65376157407407409</v>
      </c>
      <c r="AD46" s="11">
        <v>0.65435185185185185</v>
      </c>
      <c r="AE46" s="4">
        <f t="shared" si="104"/>
        <v>50.99999999999838</v>
      </c>
      <c r="AF46" s="4"/>
      <c r="AG46" s="4"/>
      <c r="AH46" s="4"/>
    </row>
    <row r="47" spans="1:34" x14ac:dyDescent="0.25">
      <c r="A47" s="3" t="s">
        <v>83</v>
      </c>
      <c r="B47" s="9">
        <v>43402</v>
      </c>
      <c r="C47" s="3">
        <v>3</v>
      </c>
      <c r="D47" s="3" t="s">
        <v>82</v>
      </c>
      <c r="E47" s="8">
        <v>0.67577546296296298</v>
      </c>
      <c r="F47" s="8">
        <v>0.67591435185185178</v>
      </c>
      <c r="G47" s="6">
        <f t="shared" si="19"/>
        <v>11.999999999992284</v>
      </c>
      <c r="H47" s="2">
        <v>1</v>
      </c>
      <c r="I47" s="2">
        <v>1</v>
      </c>
      <c r="J47" s="2">
        <v>120</v>
      </c>
      <c r="K47" s="2">
        <v>1</v>
      </c>
      <c r="L47" s="10">
        <v>0.67577546296296298</v>
      </c>
      <c r="M47" s="10">
        <v>0.67581018518518521</v>
      </c>
      <c r="N47" s="2">
        <f t="shared" si="99"/>
        <v>3.000000000000469</v>
      </c>
      <c r="O47" s="2"/>
      <c r="P47" s="13">
        <f t="shared" ref="P47:P49" si="106">(L47-E47)*86400</f>
        <v>0</v>
      </c>
      <c r="Q47" s="2">
        <v>1</v>
      </c>
      <c r="R47" s="7">
        <f t="shared" si="92"/>
        <v>1.6666666666666667</v>
      </c>
      <c r="S47" s="4">
        <v>234</v>
      </c>
      <c r="T47" s="4">
        <v>362</v>
      </c>
      <c r="U47" s="4">
        <v>6.41</v>
      </c>
      <c r="V47" s="4">
        <v>10.039999999999999</v>
      </c>
      <c r="W47" s="4">
        <f t="shared" ref="W47" si="107">S47/U47</f>
        <v>36.505460218408736</v>
      </c>
      <c r="X47" s="4">
        <f t="shared" ref="X47" si="108">T47/V47</f>
        <v>36.055776892430281</v>
      </c>
      <c r="Y47" s="4">
        <f>X47-W47</f>
        <v>-0.44968332597845517</v>
      </c>
      <c r="Z47" s="4">
        <f t="shared" ref="Z47:Z50" si="109">T47-S47</f>
        <v>128</v>
      </c>
      <c r="AA47" s="4">
        <f t="shared" ref="AA47:AA50" si="110">V47-U47</f>
        <v>3.629999999999999</v>
      </c>
      <c r="AB47" s="4">
        <v>2</v>
      </c>
      <c r="AC47" s="11">
        <v>0.67577546296296298</v>
      </c>
      <c r="AD47" s="11">
        <v>0.67614583333333333</v>
      </c>
      <c r="AE47" s="4">
        <f t="shared" ref="AE47:AE51" si="111">(AD47-AC47)*86400</f>
        <v>31.999999999998607</v>
      </c>
      <c r="AF47" s="4">
        <f>(AD47-M47)*86400</f>
        <v>28.999999999998138</v>
      </c>
      <c r="AG47" s="4">
        <v>2</v>
      </c>
      <c r="AH47" s="4">
        <f t="shared" ref="AH47:AH49" si="112">AG47/0.6</f>
        <v>3.3333333333333335</v>
      </c>
    </row>
    <row r="48" spans="1:34" x14ac:dyDescent="0.25">
      <c r="A48" s="3" t="s">
        <v>84</v>
      </c>
      <c r="B48" s="9">
        <v>43428</v>
      </c>
      <c r="C48" s="3">
        <v>2</v>
      </c>
      <c r="D48" s="3" t="s">
        <v>85</v>
      </c>
      <c r="E48" s="8">
        <v>0.49038194444444444</v>
      </c>
      <c r="F48" s="8">
        <v>0.49098379629629635</v>
      </c>
      <c r="G48" s="6">
        <f t="shared" si="19"/>
        <v>52.000000000004931</v>
      </c>
      <c r="H48" s="2">
        <v>2</v>
      </c>
      <c r="I48" s="2">
        <v>1</v>
      </c>
      <c r="J48" s="2">
        <v>73</v>
      </c>
      <c r="K48" s="2">
        <v>0</v>
      </c>
      <c r="L48" s="10"/>
      <c r="M48" s="10"/>
      <c r="N48" s="2">
        <f t="shared" si="99"/>
        <v>0</v>
      </c>
      <c r="O48" s="2"/>
      <c r="P48" s="13">
        <f t="shared" si="106"/>
        <v>-42369</v>
      </c>
      <c r="Q48" s="2">
        <v>0</v>
      </c>
      <c r="R48" s="7">
        <f t="shared" si="92"/>
        <v>0</v>
      </c>
      <c r="S48" s="4">
        <v>0</v>
      </c>
      <c r="T48" s="4">
        <v>0</v>
      </c>
      <c r="U48" s="4">
        <v>0</v>
      </c>
      <c r="V48" s="4">
        <v>0</v>
      </c>
      <c r="W48" s="4"/>
      <c r="X48" s="4"/>
      <c r="Y48" s="4">
        <f t="shared" ref="Y48:Y51" si="113">X48-W48</f>
        <v>0</v>
      </c>
      <c r="Z48" s="4">
        <f t="shared" si="109"/>
        <v>0</v>
      </c>
      <c r="AA48" s="4">
        <f t="shared" si="110"/>
        <v>0</v>
      </c>
      <c r="AB48" s="4">
        <v>0</v>
      </c>
      <c r="AC48" s="11"/>
      <c r="AD48" s="11"/>
      <c r="AE48" s="4">
        <f t="shared" si="111"/>
        <v>0</v>
      </c>
      <c r="AF48" s="4">
        <f>(AD48-M48)*86400</f>
        <v>0</v>
      </c>
      <c r="AG48" s="4">
        <v>0</v>
      </c>
      <c r="AH48" s="4">
        <f t="shared" si="112"/>
        <v>0</v>
      </c>
    </row>
    <row r="49" spans="1:34" x14ac:dyDescent="0.25">
      <c r="A49" s="3" t="s">
        <v>86</v>
      </c>
      <c r="B49" s="9">
        <v>47081</v>
      </c>
      <c r="C49" s="3">
        <v>2</v>
      </c>
      <c r="D49" s="3" t="s">
        <v>87</v>
      </c>
      <c r="E49" s="8">
        <v>0.55831018518518516</v>
      </c>
      <c r="F49" s="8">
        <v>0.55853009259259256</v>
      </c>
      <c r="G49" s="6">
        <f t="shared" si="19"/>
        <v>18.999999999999773</v>
      </c>
      <c r="H49" s="2">
        <v>2</v>
      </c>
      <c r="I49" s="2">
        <v>1</v>
      </c>
      <c r="J49" s="2">
        <v>95</v>
      </c>
      <c r="K49" s="2">
        <v>0</v>
      </c>
      <c r="L49" s="10"/>
      <c r="M49" s="10"/>
      <c r="N49" s="2">
        <f t="shared" si="99"/>
        <v>0</v>
      </c>
      <c r="O49" s="2"/>
      <c r="P49" s="13">
        <f t="shared" si="106"/>
        <v>-48238</v>
      </c>
      <c r="Q49" s="2">
        <v>0</v>
      </c>
      <c r="R49" s="7">
        <f t="shared" si="92"/>
        <v>0</v>
      </c>
      <c r="S49" s="4">
        <v>81</v>
      </c>
      <c r="T49" s="4">
        <v>42</v>
      </c>
      <c r="U49" s="4">
        <v>1.98</v>
      </c>
      <c r="V49" s="4">
        <v>0.74</v>
      </c>
      <c r="W49" s="4">
        <f t="shared" ref="W49:W51" si="114">S49/U49</f>
        <v>40.909090909090907</v>
      </c>
      <c r="X49" s="4">
        <f t="shared" ref="X49:X51" si="115">T49/V49</f>
        <v>56.756756756756758</v>
      </c>
      <c r="Y49" s="4">
        <f t="shared" si="113"/>
        <v>15.847665847665851</v>
      </c>
      <c r="Z49" s="4">
        <f t="shared" si="109"/>
        <v>-39</v>
      </c>
      <c r="AA49" s="4">
        <f t="shared" si="110"/>
        <v>-1.24</v>
      </c>
      <c r="AB49" s="4">
        <v>4</v>
      </c>
      <c r="AC49" s="11">
        <v>0.55831018518518516</v>
      </c>
      <c r="AD49" s="11">
        <v>0.55853009259259256</v>
      </c>
      <c r="AE49" s="4">
        <f t="shared" si="111"/>
        <v>18.999999999999773</v>
      </c>
      <c r="AF49" s="4">
        <f>(AD49-M49)*86400</f>
        <v>48257</v>
      </c>
      <c r="AG49" s="4">
        <v>0</v>
      </c>
      <c r="AH49" s="4">
        <f t="shared" si="112"/>
        <v>0</v>
      </c>
    </row>
    <row r="50" spans="1:34" x14ac:dyDescent="0.25">
      <c r="A50" s="3" t="s">
        <v>89</v>
      </c>
      <c r="B50" s="9">
        <v>43428</v>
      </c>
      <c r="C50" s="3">
        <v>3</v>
      </c>
      <c r="D50" s="3" t="s">
        <v>88</v>
      </c>
      <c r="E50" s="8">
        <v>0.65643518518518518</v>
      </c>
      <c r="F50" s="8">
        <v>0.65751157407407412</v>
      </c>
      <c r="G50" s="6">
        <f t="shared" si="19"/>
        <v>93.000000000004945</v>
      </c>
      <c r="H50" s="2">
        <v>2</v>
      </c>
      <c r="I50" s="2">
        <v>1</v>
      </c>
      <c r="J50" s="2">
        <v>112</v>
      </c>
      <c r="K50" s="2">
        <v>0</v>
      </c>
      <c r="L50" s="10"/>
      <c r="M50" s="10"/>
      <c r="N50" s="2">
        <f t="shared" si="99"/>
        <v>0</v>
      </c>
      <c r="O50" s="2">
        <v>1</v>
      </c>
      <c r="P50" s="13">
        <f>(L51-E50)*86400</f>
        <v>56.999999999999318</v>
      </c>
      <c r="Q50" s="2">
        <v>1</v>
      </c>
      <c r="R50" s="7">
        <f t="shared" si="92"/>
        <v>1.6666666666666667</v>
      </c>
      <c r="S50" s="4">
        <v>369</v>
      </c>
      <c r="T50" s="4">
        <v>396</v>
      </c>
      <c r="U50" s="4">
        <v>12.36</v>
      </c>
      <c r="V50" s="4">
        <v>11.06</v>
      </c>
      <c r="W50" s="4">
        <f t="shared" si="114"/>
        <v>29.854368932038835</v>
      </c>
      <c r="X50" s="4">
        <f t="shared" si="115"/>
        <v>35.804701627486438</v>
      </c>
      <c r="Y50" s="4">
        <f t="shared" si="113"/>
        <v>5.950332695447603</v>
      </c>
      <c r="Z50" s="4">
        <f t="shared" si="109"/>
        <v>27</v>
      </c>
      <c r="AA50" s="4">
        <f t="shared" si="110"/>
        <v>-1.2999999999999989</v>
      </c>
      <c r="AB50" s="4">
        <v>4</v>
      </c>
      <c r="AC50" s="11">
        <v>0.65643518518518518</v>
      </c>
      <c r="AD50" s="11">
        <v>0.65709490740740739</v>
      </c>
      <c r="AE50" s="4">
        <f t="shared" si="111"/>
        <v>56.999999999999318</v>
      </c>
      <c r="AF50" s="4">
        <f>(AD51-M51)*86400</f>
        <v>34.000000000002117</v>
      </c>
      <c r="AG50" s="4">
        <v>0</v>
      </c>
      <c r="AH50" s="4">
        <f t="shared" ref="AH50" si="116">AG50/0.6</f>
        <v>0</v>
      </c>
    </row>
    <row r="51" spans="1:34" x14ac:dyDescent="0.25">
      <c r="A51" s="3"/>
      <c r="B51" s="9">
        <v>39776</v>
      </c>
      <c r="C51" s="3">
        <v>3</v>
      </c>
      <c r="D51" s="3"/>
      <c r="E51" s="8"/>
      <c r="F51" s="8"/>
      <c r="G51" s="6"/>
      <c r="H51" s="2">
        <v>2</v>
      </c>
      <c r="I51" s="2"/>
      <c r="J51" s="2"/>
      <c r="K51" s="2">
        <v>1</v>
      </c>
      <c r="L51" s="10">
        <v>0.65709490740740739</v>
      </c>
      <c r="M51" s="10">
        <v>0.65711805555555558</v>
      </c>
      <c r="N51" s="2">
        <f t="shared" si="99"/>
        <v>2.0000000000035101</v>
      </c>
      <c r="O51" s="2"/>
      <c r="P51" s="2"/>
      <c r="Q51" s="2"/>
      <c r="R51" s="7"/>
      <c r="S51" s="4">
        <v>403</v>
      </c>
      <c r="T51" s="4">
        <v>161</v>
      </c>
      <c r="U51" s="4">
        <v>9.94</v>
      </c>
      <c r="V51" s="4">
        <v>5.31</v>
      </c>
      <c r="W51" s="4">
        <f t="shared" si="114"/>
        <v>40.543259557344065</v>
      </c>
      <c r="X51" s="4">
        <f t="shared" si="115"/>
        <v>30.320150659133713</v>
      </c>
      <c r="Y51" s="4">
        <f t="shared" si="113"/>
        <v>-10.223108898210352</v>
      </c>
      <c r="Z51" s="4"/>
      <c r="AA51" s="4">
        <f t="shared" ref="AA51:AA54" si="117">V51-U51</f>
        <v>-4.63</v>
      </c>
      <c r="AB51" s="4">
        <v>3</v>
      </c>
      <c r="AC51" s="11">
        <v>0.65709490740740739</v>
      </c>
      <c r="AD51" s="11">
        <v>0.65751157407407412</v>
      </c>
      <c r="AE51" s="4">
        <f t="shared" si="111"/>
        <v>36.000000000005627</v>
      </c>
      <c r="AF51" s="4"/>
      <c r="AG51" s="4"/>
      <c r="AH51" s="4"/>
    </row>
    <row r="52" spans="1:34" x14ac:dyDescent="0.25">
      <c r="A52" s="3" t="s">
        <v>91</v>
      </c>
      <c r="B52" s="9">
        <v>43429</v>
      </c>
      <c r="C52" s="3">
        <v>1</v>
      </c>
      <c r="D52" s="3" t="s">
        <v>90</v>
      </c>
      <c r="E52" s="8">
        <v>0.29348379629629628</v>
      </c>
      <c r="F52" s="8">
        <v>0.29390046296296296</v>
      </c>
      <c r="G52" s="6">
        <f t="shared" si="19"/>
        <v>36.000000000000831</v>
      </c>
      <c r="H52" s="2">
        <v>2</v>
      </c>
      <c r="I52" s="2">
        <v>1</v>
      </c>
      <c r="J52" s="2">
        <v>115</v>
      </c>
      <c r="K52" s="2">
        <v>0</v>
      </c>
      <c r="L52" s="10"/>
      <c r="M52" s="10"/>
      <c r="N52" s="2">
        <f t="shared" si="99"/>
        <v>0</v>
      </c>
      <c r="O52" s="2"/>
      <c r="P52" s="13">
        <f t="shared" ref="P52:P53" si="118">(L52-E52)*86400</f>
        <v>-25357</v>
      </c>
      <c r="Q52" s="2">
        <v>0</v>
      </c>
      <c r="R52" s="7">
        <f t="shared" si="92"/>
        <v>0</v>
      </c>
      <c r="S52" s="4">
        <v>249</v>
      </c>
      <c r="T52" s="4">
        <v>163</v>
      </c>
      <c r="U52" s="4">
        <v>12.18</v>
      </c>
      <c r="V52" s="4">
        <v>9.6300000000000008</v>
      </c>
      <c r="W52" s="4">
        <f t="shared" ref="W52:W55" si="119">S52/U52</f>
        <v>20.44334975369458</v>
      </c>
      <c r="X52" s="4">
        <f t="shared" ref="X52:X55" si="120">T52/V52</f>
        <v>16.926272066458981</v>
      </c>
      <c r="Y52" s="4">
        <f t="shared" ref="Y52:Y55" si="121">X52-W52</f>
        <v>-3.5170776872355987</v>
      </c>
      <c r="Z52" s="4">
        <f t="shared" ref="Z52:Z54" si="122">T52-S52</f>
        <v>-86</v>
      </c>
      <c r="AA52" s="4">
        <f t="shared" si="117"/>
        <v>-2.5499999999999989</v>
      </c>
      <c r="AB52" s="4">
        <v>4</v>
      </c>
      <c r="AC52" s="11">
        <v>0.29350694444444442</v>
      </c>
      <c r="AD52" s="11">
        <v>0.29390046296296296</v>
      </c>
      <c r="AE52" s="4">
        <f t="shared" ref="AE52:AE117" si="123">(AD52-AC52)*86400</f>
        <v>34.000000000002117</v>
      </c>
      <c r="AF52" s="4">
        <f>(AD52-M52)*86400</f>
        <v>25393</v>
      </c>
      <c r="AG52" s="4">
        <v>0</v>
      </c>
      <c r="AH52" s="4">
        <f t="shared" ref="AH52:AH116" si="124">AG52/0.6</f>
        <v>0</v>
      </c>
    </row>
    <row r="53" spans="1:34" x14ac:dyDescent="0.25">
      <c r="A53" s="3" t="s">
        <v>91</v>
      </c>
      <c r="B53" s="9">
        <v>43429</v>
      </c>
      <c r="C53" s="3">
        <v>1</v>
      </c>
      <c r="D53" s="3" t="s">
        <v>92</v>
      </c>
      <c r="E53" s="8">
        <v>0.29511574074074071</v>
      </c>
      <c r="F53" s="8">
        <v>0.29524305555555558</v>
      </c>
      <c r="G53" s="6">
        <f t="shared" si="19"/>
        <v>11.000000000004917</v>
      </c>
      <c r="H53" s="2">
        <v>2</v>
      </c>
      <c r="I53" s="2">
        <v>1</v>
      </c>
      <c r="J53" s="2">
        <v>115</v>
      </c>
      <c r="K53" s="2">
        <v>1</v>
      </c>
      <c r="L53" s="10">
        <v>0.29511574074074071</v>
      </c>
      <c r="M53" s="10">
        <v>0.29518518518518516</v>
      </c>
      <c r="N53" s="2">
        <f t="shared" si="99"/>
        <v>6.0000000000009379</v>
      </c>
      <c r="O53" s="2"/>
      <c r="P53" s="13">
        <f t="shared" si="118"/>
        <v>0</v>
      </c>
      <c r="Q53" s="2">
        <v>1</v>
      </c>
      <c r="R53" s="7">
        <f t="shared" si="92"/>
        <v>1.6666666666666667</v>
      </c>
      <c r="S53" s="4">
        <v>224</v>
      </c>
      <c r="T53" s="4">
        <v>172</v>
      </c>
      <c r="U53" s="4">
        <v>11.92</v>
      </c>
      <c r="V53" s="4">
        <v>9.0299999999999994</v>
      </c>
      <c r="W53" s="4">
        <f t="shared" si="119"/>
        <v>18.791946308724832</v>
      </c>
      <c r="X53" s="4">
        <f t="shared" si="120"/>
        <v>19.047619047619047</v>
      </c>
      <c r="Y53" s="4">
        <f t="shared" si="121"/>
        <v>0.25567273889421571</v>
      </c>
      <c r="Z53" s="4">
        <f t="shared" si="122"/>
        <v>-52</v>
      </c>
      <c r="AA53" s="4">
        <f t="shared" si="117"/>
        <v>-2.8900000000000006</v>
      </c>
      <c r="AB53" s="4">
        <v>3</v>
      </c>
      <c r="AC53" s="11">
        <v>0.29511574074074071</v>
      </c>
      <c r="AD53" s="11">
        <v>0.29524305555555558</v>
      </c>
      <c r="AE53" s="4">
        <f t="shared" si="123"/>
        <v>11.000000000004917</v>
      </c>
      <c r="AF53" s="4">
        <f>(AD53-M53)*86400</f>
        <v>5.000000000003979</v>
      </c>
      <c r="AG53" s="4">
        <v>0</v>
      </c>
      <c r="AH53" s="4">
        <f t="shared" si="124"/>
        <v>0</v>
      </c>
    </row>
    <row r="54" spans="1:34" x14ac:dyDescent="0.25">
      <c r="A54" s="3" t="s">
        <v>94</v>
      </c>
      <c r="B54" s="9">
        <v>43429</v>
      </c>
      <c r="C54" s="3">
        <v>1</v>
      </c>
      <c r="D54" s="3" t="s">
        <v>93</v>
      </c>
      <c r="E54" s="8">
        <v>0.3246412037037037</v>
      </c>
      <c r="F54" s="8">
        <v>0.32510416666666669</v>
      </c>
      <c r="G54" s="6">
        <f t="shared" si="19"/>
        <v>40.000000000003055</v>
      </c>
      <c r="H54" s="2">
        <v>2</v>
      </c>
      <c r="I54" s="2">
        <v>1</v>
      </c>
      <c r="J54" s="2">
        <v>115</v>
      </c>
      <c r="K54" s="2">
        <v>0</v>
      </c>
      <c r="L54" s="10"/>
      <c r="M54" s="10"/>
      <c r="N54" s="2">
        <f t="shared" si="99"/>
        <v>0</v>
      </c>
      <c r="O54" s="2">
        <v>1</v>
      </c>
      <c r="P54" s="13">
        <f>(L55-E54)*86400</f>
        <v>29.999999999999893</v>
      </c>
      <c r="Q54" s="2">
        <v>1</v>
      </c>
      <c r="R54" s="7">
        <f t="shared" si="92"/>
        <v>1.6666666666666667</v>
      </c>
      <c r="S54" s="4">
        <v>399</v>
      </c>
      <c r="T54" s="4">
        <v>453</v>
      </c>
      <c r="U54" s="4">
        <v>13.75</v>
      </c>
      <c r="V54" s="4">
        <v>13.12</v>
      </c>
      <c r="W54" s="4">
        <f t="shared" si="119"/>
        <v>29.018181818181819</v>
      </c>
      <c r="X54" s="4">
        <f t="shared" si="120"/>
        <v>34.527439024390247</v>
      </c>
      <c r="Y54" s="4">
        <f t="shared" si="121"/>
        <v>5.509257206208428</v>
      </c>
      <c r="Z54" s="4">
        <f t="shared" si="122"/>
        <v>54</v>
      </c>
      <c r="AA54" s="4">
        <f t="shared" si="117"/>
        <v>-0.63000000000000078</v>
      </c>
      <c r="AB54" s="4">
        <v>6</v>
      </c>
      <c r="AC54" s="11">
        <v>0.3246412037037037</v>
      </c>
      <c r="AD54" s="11">
        <v>0.32497685185185182</v>
      </c>
      <c r="AE54" s="4">
        <f t="shared" si="123"/>
        <v>28.999999999998138</v>
      </c>
      <c r="AF54" s="4">
        <f>(AD55-M55)*86400</f>
        <v>8.000000000004448</v>
      </c>
      <c r="AG54" s="4">
        <v>2</v>
      </c>
      <c r="AH54" s="4">
        <f t="shared" si="124"/>
        <v>3.3333333333333335</v>
      </c>
    </row>
    <row r="55" spans="1:34" x14ac:dyDescent="0.25">
      <c r="A55" s="3"/>
      <c r="B55" s="9">
        <v>43429</v>
      </c>
      <c r="C55" s="3">
        <v>1</v>
      </c>
      <c r="D55" s="3"/>
      <c r="E55" s="8"/>
      <c r="F55" s="8"/>
      <c r="G55" s="6"/>
      <c r="H55" s="2">
        <v>2</v>
      </c>
      <c r="I55" s="2"/>
      <c r="J55" s="2"/>
      <c r="K55" s="2">
        <v>1</v>
      </c>
      <c r="L55" s="10">
        <v>0.32498842592592592</v>
      </c>
      <c r="M55" s="10">
        <v>0.32501157407407405</v>
      </c>
      <c r="N55" s="2">
        <f t="shared" si="99"/>
        <v>1.9999999999987139</v>
      </c>
      <c r="O55" s="2"/>
      <c r="P55" s="2"/>
      <c r="Q55" s="2"/>
      <c r="R55" s="7"/>
      <c r="S55" s="4">
        <v>373</v>
      </c>
      <c r="T55" s="4">
        <v>316</v>
      </c>
      <c r="U55" s="4">
        <v>9.41</v>
      </c>
      <c r="V55" s="4">
        <v>5.1100000000000003</v>
      </c>
      <c r="W55" s="4">
        <f t="shared" si="119"/>
        <v>39.638682252922422</v>
      </c>
      <c r="X55" s="4">
        <f t="shared" si="120"/>
        <v>61.839530332681015</v>
      </c>
      <c r="Y55" s="4">
        <f t="shared" si="121"/>
        <v>22.200848079758593</v>
      </c>
      <c r="Z55" s="4"/>
      <c r="AA55" s="4">
        <f t="shared" ref="AA55:AA57" si="125">V55-U55</f>
        <v>-4.3</v>
      </c>
      <c r="AB55" s="4">
        <v>1</v>
      </c>
      <c r="AC55" s="11">
        <v>0.32498842592592592</v>
      </c>
      <c r="AD55" s="11">
        <v>0.32510416666666669</v>
      </c>
      <c r="AE55" s="4">
        <f t="shared" si="123"/>
        <v>10.000000000003162</v>
      </c>
      <c r="AF55" s="4"/>
      <c r="AG55" s="4"/>
      <c r="AH55" s="4"/>
    </row>
    <row r="56" spans="1:34" x14ac:dyDescent="0.25">
      <c r="A56" s="3" t="s">
        <v>95</v>
      </c>
      <c r="B56" s="9">
        <v>43429</v>
      </c>
      <c r="C56" s="3">
        <v>1</v>
      </c>
      <c r="D56" s="3" t="s">
        <v>96</v>
      </c>
      <c r="E56" s="8">
        <v>0.33179398148148148</v>
      </c>
      <c r="F56" s="8">
        <v>0.33224537037037033</v>
      </c>
      <c r="G56" s="6">
        <f t="shared" si="19"/>
        <v>38.999999999996504</v>
      </c>
      <c r="H56" s="2">
        <v>2</v>
      </c>
      <c r="I56" s="2">
        <v>1</v>
      </c>
      <c r="J56" s="2">
        <v>122</v>
      </c>
      <c r="K56" s="2">
        <v>0</v>
      </c>
      <c r="L56" s="10"/>
      <c r="M56" s="10"/>
      <c r="N56" s="2">
        <f t="shared" si="99"/>
        <v>0</v>
      </c>
      <c r="O56" s="2"/>
      <c r="P56" s="13">
        <f t="shared" ref="P56" si="126">(L56-E56)*86400</f>
        <v>-28667</v>
      </c>
      <c r="Q56" s="2">
        <v>0</v>
      </c>
      <c r="R56" s="7">
        <f t="shared" si="92"/>
        <v>0</v>
      </c>
      <c r="S56" s="4">
        <v>358</v>
      </c>
      <c r="T56" s="4">
        <v>395</v>
      </c>
      <c r="U56" s="4">
        <v>11.87</v>
      </c>
      <c r="V56" s="4">
        <v>11.61</v>
      </c>
      <c r="W56" s="4">
        <f t="shared" ref="W56:W57" si="127">S56/U56</f>
        <v>30.160067396798652</v>
      </c>
      <c r="X56" s="4">
        <f t="shared" ref="X56:X57" si="128">T56/V56</f>
        <v>34.022394487510766</v>
      </c>
      <c r="Y56" s="4">
        <f t="shared" ref="Y56:Y58" si="129">X56-W56</f>
        <v>3.8623270907121139</v>
      </c>
      <c r="Z56" s="4">
        <f t="shared" ref="Z56:Z57" si="130">T56-S56</f>
        <v>37</v>
      </c>
      <c r="AA56" s="4">
        <f t="shared" si="125"/>
        <v>-0.25999999999999979</v>
      </c>
      <c r="AB56" s="4">
        <v>4</v>
      </c>
      <c r="AC56" s="11">
        <v>0.33180555555555552</v>
      </c>
      <c r="AD56" s="11">
        <v>0.33224537037037033</v>
      </c>
      <c r="AE56" s="4">
        <f t="shared" si="123"/>
        <v>37.999999999999545</v>
      </c>
      <c r="AF56" s="4">
        <f>(AD56-M56)*86400</f>
        <v>28705.999999999996</v>
      </c>
      <c r="AG56" s="4">
        <v>0</v>
      </c>
      <c r="AH56" s="4">
        <f t="shared" si="124"/>
        <v>0</v>
      </c>
    </row>
    <row r="57" spans="1:34" x14ac:dyDescent="0.25">
      <c r="A57" s="3" t="s">
        <v>95</v>
      </c>
      <c r="B57" s="9">
        <v>43429</v>
      </c>
      <c r="C57" s="3">
        <v>1</v>
      </c>
      <c r="D57" s="3" t="s">
        <v>97</v>
      </c>
      <c r="E57" s="8">
        <v>0.33315972222222223</v>
      </c>
      <c r="F57" s="8">
        <v>0.33545138888888887</v>
      </c>
      <c r="G57" s="6">
        <f t="shared" si="19"/>
        <v>197.99999999999739</v>
      </c>
      <c r="H57" s="2">
        <v>2</v>
      </c>
      <c r="I57" s="2">
        <v>1</v>
      </c>
      <c r="J57" s="2">
        <v>123</v>
      </c>
      <c r="K57" s="2">
        <v>0</v>
      </c>
      <c r="L57" s="10">
        <v>0.33315972222222223</v>
      </c>
      <c r="M57" s="10">
        <v>0.33328703703703705</v>
      </c>
      <c r="N57" s="2">
        <v>0</v>
      </c>
      <c r="O57" s="2">
        <v>1</v>
      </c>
      <c r="P57" s="13">
        <f>(L58-E57)*86400</f>
        <v>11.000000000000121</v>
      </c>
      <c r="Q57" s="2">
        <v>1</v>
      </c>
      <c r="R57" s="7">
        <f t="shared" si="92"/>
        <v>1.6666666666666667</v>
      </c>
      <c r="S57" s="4">
        <v>493</v>
      </c>
      <c r="T57" s="4">
        <v>390</v>
      </c>
      <c r="U57" s="4">
        <v>13.16</v>
      </c>
      <c r="V57" s="4">
        <v>12.37</v>
      </c>
      <c r="W57" s="4">
        <f t="shared" si="127"/>
        <v>37.462006079027354</v>
      </c>
      <c r="X57" s="4">
        <f t="shared" si="128"/>
        <v>31.527890056588522</v>
      </c>
      <c r="Y57" s="4">
        <f t="shared" si="129"/>
        <v>-5.9341160224388325</v>
      </c>
      <c r="Z57" s="4">
        <f t="shared" si="130"/>
        <v>-103</v>
      </c>
      <c r="AA57" s="4">
        <f t="shared" si="125"/>
        <v>-0.79000000000000092</v>
      </c>
      <c r="AB57" s="4">
        <v>4</v>
      </c>
      <c r="AC57" s="11">
        <v>0.33315972222222223</v>
      </c>
      <c r="AD57" s="11">
        <v>0.33328703703703705</v>
      </c>
      <c r="AE57" s="4">
        <f t="shared" si="123"/>
        <v>11.000000000000121</v>
      </c>
      <c r="AF57" s="4">
        <f>(AD59-M59)*86400</f>
        <v>7.9999999999996518</v>
      </c>
      <c r="AG57" s="4">
        <v>8</v>
      </c>
      <c r="AH57" s="4">
        <f t="shared" si="124"/>
        <v>13.333333333333334</v>
      </c>
    </row>
    <row r="58" spans="1:34" x14ac:dyDescent="0.25">
      <c r="A58" s="3"/>
      <c r="B58" s="9">
        <v>43429</v>
      </c>
      <c r="C58" s="3">
        <v>1</v>
      </c>
      <c r="D58" s="3"/>
      <c r="E58" s="8"/>
      <c r="F58" s="8"/>
      <c r="G58" s="6"/>
      <c r="H58" s="2">
        <v>2</v>
      </c>
      <c r="I58" s="2"/>
      <c r="J58" s="2"/>
      <c r="K58" s="2">
        <v>1</v>
      </c>
      <c r="L58" s="10">
        <v>0.33328703703703705</v>
      </c>
      <c r="M58" s="10">
        <v>0.33334490740740735</v>
      </c>
      <c r="N58" s="2">
        <f t="shared" si="99"/>
        <v>4.9999999999943867</v>
      </c>
      <c r="O58" s="2"/>
      <c r="P58" s="2"/>
      <c r="Q58" s="2"/>
      <c r="R58" s="7"/>
      <c r="S58" s="4"/>
      <c r="T58" s="4"/>
      <c r="U58" s="4"/>
      <c r="V58" s="4"/>
      <c r="W58" s="4"/>
      <c r="X58" s="4"/>
      <c r="Y58" s="4">
        <f t="shared" si="129"/>
        <v>0</v>
      </c>
      <c r="Z58" s="4"/>
      <c r="AA58" s="4">
        <f t="shared" ref="AA58:AA65" si="131">V58-U58</f>
        <v>0</v>
      </c>
      <c r="AB58" s="4">
        <v>1</v>
      </c>
      <c r="AC58" s="11">
        <v>0.33328703703703705</v>
      </c>
      <c r="AD58" s="11">
        <v>0.3333564814814815</v>
      </c>
      <c r="AE58" s="4">
        <f t="shared" si="123"/>
        <v>6.0000000000009379</v>
      </c>
      <c r="AF58" s="4"/>
      <c r="AG58" s="4"/>
      <c r="AH58" s="4"/>
    </row>
    <row r="59" spans="1:34" x14ac:dyDescent="0.25">
      <c r="A59" s="3"/>
      <c r="B59" s="9">
        <v>43429</v>
      </c>
      <c r="C59" s="3">
        <v>1</v>
      </c>
      <c r="D59" s="3"/>
      <c r="E59" s="8"/>
      <c r="F59" s="8"/>
      <c r="G59" s="6"/>
      <c r="H59" s="2">
        <v>2</v>
      </c>
      <c r="I59" s="2"/>
      <c r="J59" s="2"/>
      <c r="K59" s="2">
        <v>0</v>
      </c>
      <c r="L59" s="10">
        <v>0.33334490740740735</v>
      </c>
      <c r="M59" s="10">
        <v>0.33535879629629628</v>
      </c>
      <c r="N59" s="2">
        <f t="shared" si="99"/>
        <v>174.00000000000321</v>
      </c>
      <c r="O59" s="2"/>
      <c r="P59" s="2"/>
      <c r="Q59" s="2"/>
      <c r="R59" s="7"/>
      <c r="S59" s="4"/>
      <c r="T59" s="4"/>
      <c r="U59" s="4"/>
      <c r="V59" s="4"/>
      <c r="W59" s="4"/>
      <c r="X59" s="4"/>
      <c r="Y59" s="4"/>
      <c r="Z59" s="4"/>
      <c r="AA59" s="4">
        <f t="shared" si="131"/>
        <v>0</v>
      </c>
      <c r="AB59" s="4">
        <v>5</v>
      </c>
      <c r="AC59" s="11">
        <v>0.3333564814814815</v>
      </c>
      <c r="AD59" s="11">
        <v>0.33545138888888887</v>
      </c>
      <c r="AE59" s="4">
        <f t="shared" si="123"/>
        <v>180.99999999999631</v>
      </c>
      <c r="AF59" s="4"/>
      <c r="AG59" s="4"/>
      <c r="AH59" s="4"/>
    </row>
    <row r="60" spans="1:34" x14ac:dyDescent="0.25">
      <c r="A60" s="3" t="s">
        <v>99</v>
      </c>
      <c r="B60" s="9">
        <v>43429</v>
      </c>
      <c r="C60" s="3">
        <v>1</v>
      </c>
      <c r="D60" s="3" t="s">
        <v>98</v>
      </c>
      <c r="E60" s="8">
        <v>0.33789351851851851</v>
      </c>
      <c r="F60" s="8">
        <v>0.34228009259259262</v>
      </c>
      <c r="G60" s="6">
        <f t="shared" si="19"/>
        <v>379.0000000000033</v>
      </c>
      <c r="H60" s="2">
        <v>2</v>
      </c>
      <c r="I60" s="2">
        <v>1</v>
      </c>
      <c r="J60" s="2">
        <v>126</v>
      </c>
      <c r="K60" s="2">
        <v>0</v>
      </c>
      <c r="L60" s="10">
        <v>0.33789351851851851</v>
      </c>
      <c r="M60" s="10">
        <v>0.33939814814814812</v>
      </c>
      <c r="N60" s="2">
        <f t="shared" si="99"/>
        <v>129.99999999999795</v>
      </c>
      <c r="O60" s="2"/>
      <c r="P60" s="13">
        <f>(L60-E60)*86400</f>
        <v>0</v>
      </c>
      <c r="Q60" s="2">
        <v>0</v>
      </c>
      <c r="R60" s="7">
        <f t="shared" si="92"/>
        <v>0</v>
      </c>
      <c r="S60" s="4">
        <v>412</v>
      </c>
      <c r="T60" s="4">
        <v>247</v>
      </c>
      <c r="U60" s="4">
        <v>12.66</v>
      </c>
      <c r="V60" s="4">
        <v>9.93</v>
      </c>
      <c r="W60" s="4">
        <f t="shared" ref="W60" si="132">S60/U60</f>
        <v>32.543443917851498</v>
      </c>
      <c r="X60" s="4">
        <f t="shared" ref="X60" si="133">T60/V60</f>
        <v>24.874118831822759</v>
      </c>
      <c r="Y60" s="4">
        <f>X60-W60</f>
        <v>-7.6693250860287385</v>
      </c>
      <c r="Z60" s="4">
        <f>T60-S60</f>
        <v>-165</v>
      </c>
      <c r="AA60" s="4">
        <f t="shared" si="131"/>
        <v>-2.7300000000000004</v>
      </c>
      <c r="AB60" s="4">
        <v>6</v>
      </c>
      <c r="AC60" s="11">
        <v>0.33789351851851851</v>
      </c>
      <c r="AD60" s="11">
        <v>0.33914351851851854</v>
      </c>
      <c r="AE60" s="4">
        <f t="shared" si="123"/>
        <v>108.0000000000025</v>
      </c>
      <c r="AF60" s="4">
        <f>(AD62-M62)*86400</f>
        <v>0</v>
      </c>
      <c r="AG60" s="4">
        <v>8</v>
      </c>
      <c r="AH60" s="4">
        <f t="shared" si="124"/>
        <v>13.333333333333334</v>
      </c>
    </row>
    <row r="61" spans="1:34" x14ac:dyDescent="0.25">
      <c r="A61" s="3"/>
      <c r="B61" s="9">
        <v>43429</v>
      </c>
      <c r="C61" s="3">
        <v>1</v>
      </c>
      <c r="D61" s="3"/>
      <c r="E61" s="8"/>
      <c r="F61" s="8"/>
      <c r="G61" s="6"/>
      <c r="H61" s="2">
        <v>2</v>
      </c>
      <c r="I61" s="2"/>
      <c r="J61" s="2"/>
      <c r="K61" s="2">
        <v>0</v>
      </c>
      <c r="L61" s="10">
        <v>0.33939814814814812</v>
      </c>
      <c r="M61" s="10">
        <v>0.34049768518518514</v>
      </c>
      <c r="N61" s="2">
        <f t="shared" si="99"/>
        <v>94.999999999998863</v>
      </c>
      <c r="O61" s="2"/>
      <c r="P61" s="2"/>
      <c r="Q61" s="2"/>
      <c r="R61" s="7"/>
      <c r="S61" s="4"/>
      <c r="T61" s="4"/>
      <c r="U61" s="4"/>
      <c r="V61" s="4"/>
      <c r="W61" s="4"/>
      <c r="X61" s="4"/>
      <c r="Y61" s="4"/>
      <c r="Z61" s="4"/>
      <c r="AA61" s="4"/>
      <c r="AB61" s="4">
        <v>5</v>
      </c>
      <c r="AC61" s="11">
        <v>0.33939814814814812</v>
      </c>
      <c r="AD61" s="11">
        <v>0.34016203703703707</v>
      </c>
      <c r="AE61" s="4">
        <f t="shared" si="123"/>
        <v>66.000000000005514</v>
      </c>
      <c r="AF61" s="4"/>
      <c r="AG61" s="4"/>
      <c r="AH61" s="4"/>
    </row>
    <row r="62" spans="1:34" x14ac:dyDescent="0.25">
      <c r="A62" s="3"/>
      <c r="B62" s="9">
        <v>43429</v>
      </c>
      <c r="C62" s="3">
        <v>1</v>
      </c>
      <c r="D62" s="3"/>
      <c r="E62" s="8"/>
      <c r="F62" s="8"/>
      <c r="G62" s="6"/>
      <c r="H62" s="2">
        <v>2</v>
      </c>
      <c r="I62" s="2"/>
      <c r="J62" s="2"/>
      <c r="K62" s="13">
        <v>0</v>
      </c>
      <c r="L62" s="14">
        <v>0.34068287037037037</v>
      </c>
      <c r="M62" s="10">
        <v>0.34228009259259262</v>
      </c>
      <c r="N62" s="2">
        <f t="shared" si="99"/>
        <v>138.00000000000239</v>
      </c>
      <c r="O62" s="2"/>
      <c r="P62" s="2"/>
      <c r="Q62" s="2"/>
      <c r="R62" s="7"/>
      <c r="S62" s="4"/>
      <c r="T62" s="4"/>
      <c r="U62" s="4"/>
      <c r="V62" s="4"/>
      <c r="W62" s="4"/>
      <c r="X62" s="4"/>
      <c r="Y62" s="4"/>
      <c r="Z62" s="4"/>
      <c r="AA62" s="4"/>
      <c r="AB62" s="4">
        <v>4</v>
      </c>
      <c r="AC62" s="11">
        <v>0.34068287037037037</v>
      </c>
      <c r="AD62" s="11">
        <v>0.34228009259259262</v>
      </c>
      <c r="AE62" s="4">
        <f t="shared" si="123"/>
        <v>138.00000000000239</v>
      </c>
      <c r="AF62" s="4"/>
      <c r="AG62" s="4"/>
      <c r="AH62" s="4"/>
    </row>
    <row r="63" spans="1:34" x14ac:dyDescent="0.25">
      <c r="A63" s="3" t="s">
        <v>101</v>
      </c>
      <c r="B63" s="9">
        <v>43429</v>
      </c>
      <c r="C63" s="3">
        <v>2</v>
      </c>
      <c r="D63" s="3" t="s">
        <v>100</v>
      </c>
      <c r="E63" s="8">
        <v>0.54700231481481476</v>
      </c>
      <c r="F63" s="8">
        <v>0.55021990740740734</v>
      </c>
      <c r="G63" s="6">
        <f t="shared" si="19"/>
        <v>277.99999999999869</v>
      </c>
      <c r="H63" s="2">
        <v>2</v>
      </c>
      <c r="I63" s="2">
        <v>1</v>
      </c>
      <c r="J63" s="2">
        <v>153</v>
      </c>
      <c r="K63" s="2">
        <v>0</v>
      </c>
      <c r="L63" s="10">
        <v>0.54700231481481476</v>
      </c>
      <c r="M63" s="10">
        <v>0.54893518518518525</v>
      </c>
      <c r="N63" s="2">
        <f t="shared" si="99"/>
        <v>167.00000000001012</v>
      </c>
      <c r="O63" s="2"/>
      <c r="P63" s="13">
        <f>(L63-E63)*86400</f>
        <v>0</v>
      </c>
      <c r="Q63" s="2">
        <v>0</v>
      </c>
      <c r="R63" s="7">
        <f t="shared" si="92"/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f>X63-W63</f>
        <v>0</v>
      </c>
      <c r="Z63" s="4">
        <f>T63-S63</f>
        <v>0</v>
      </c>
      <c r="AA63" s="4">
        <f t="shared" si="131"/>
        <v>0</v>
      </c>
      <c r="AB63" s="4">
        <v>0</v>
      </c>
      <c r="AC63" s="11">
        <v>0.54700231481481476</v>
      </c>
      <c r="AD63" s="11">
        <v>0.54893518518518525</v>
      </c>
      <c r="AE63" s="4">
        <f t="shared" si="123"/>
        <v>167.00000000001012</v>
      </c>
      <c r="AF63" s="4">
        <f>(AD63-M63)*86400</f>
        <v>0</v>
      </c>
      <c r="AG63" s="4">
        <v>6</v>
      </c>
      <c r="AH63" s="4">
        <f t="shared" si="124"/>
        <v>10</v>
      </c>
    </row>
    <row r="64" spans="1:34" x14ac:dyDescent="0.25">
      <c r="A64" s="3"/>
      <c r="B64" s="9">
        <v>43429</v>
      </c>
      <c r="C64" s="3">
        <v>2</v>
      </c>
      <c r="D64" s="3"/>
      <c r="E64" s="8"/>
      <c r="F64" s="8"/>
      <c r="G64" s="6"/>
      <c r="H64" s="2">
        <v>2</v>
      </c>
      <c r="I64" s="2"/>
      <c r="J64" s="2"/>
      <c r="K64" s="2">
        <v>0</v>
      </c>
      <c r="L64" s="10">
        <v>0.54893518518518525</v>
      </c>
      <c r="M64" s="10">
        <v>0.55021990740740734</v>
      </c>
      <c r="N64" s="2">
        <f t="shared" si="99"/>
        <v>110.99999999998857</v>
      </c>
      <c r="O64" s="2"/>
      <c r="P64" s="2"/>
      <c r="Q64" s="2"/>
      <c r="R64" s="7"/>
      <c r="S64" s="4"/>
      <c r="T64" s="4"/>
      <c r="U64" s="4"/>
      <c r="V64" s="4"/>
      <c r="W64" s="4"/>
      <c r="X64" s="4"/>
      <c r="Y64" s="4"/>
      <c r="Z64" s="4"/>
      <c r="AA64" s="4"/>
      <c r="AB64" s="4">
        <v>5</v>
      </c>
      <c r="AC64" s="11">
        <v>0.54893518518518525</v>
      </c>
      <c r="AD64" s="11">
        <v>0.55021990740740734</v>
      </c>
      <c r="AE64" s="4">
        <f t="shared" si="123"/>
        <v>110.99999999998857</v>
      </c>
      <c r="AF64" s="4"/>
      <c r="AG64" s="4"/>
      <c r="AH64" s="4"/>
    </row>
    <row r="65" spans="1:34" x14ac:dyDescent="0.25">
      <c r="A65" s="3" t="s">
        <v>104</v>
      </c>
      <c r="B65" s="9">
        <v>43429</v>
      </c>
      <c r="C65" s="3">
        <v>2</v>
      </c>
      <c r="D65" s="3" t="s">
        <v>102</v>
      </c>
      <c r="E65" s="8">
        <v>0.55534722222222221</v>
      </c>
      <c r="F65" s="8">
        <v>0.55682870370370374</v>
      </c>
      <c r="G65" s="6">
        <f t="shared" si="19"/>
        <v>128.00000000000404</v>
      </c>
      <c r="H65" s="2">
        <v>2</v>
      </c>
      <c r="I65" s="2">
        <v>1</v>
      </c>
      <c r="J65" s="2">
        <v>141</v>
      </c>
      <c r="K65" s="2">
        <v>0</v>
      </c>
      <c r="L65" s="10">
        <v>0.55534722222222221</v>
      </c>
      <c r="M65" s="10">
        <v>0.55682870370370374</v>
      </c>
      <c r="N65" s="2">
        <f t="shared" si="99"/>
        <v>128.00000000000404</v>
      </c>
      <c r="O65" s="2"/>
      <c r="P65" s="13">
        <f t="shared" ref="P65:P67" si="134">(L65-E65)*86400</f>
        <v>0</v>
      </c>
      <c r="Q65" s="2">
        <v>0</v>
      </c>
      <c r="R65" s="7">
        <f t="shared" si="92"/>
        <v>0</v>
      </c>
      <c r="S65" s="4">
        <v>24</v>
      </c>
      <c r="T65" s="4">
        <v>96</v>
      </c>
      <c r="U65" s="4">
        <v>1.96</v>
      </c>
      <c r="V65" s="4">
        <v>3.68</v>
      </c>
      <c r="W65" s="4">
        <f t="shared" ref="W65" si="135">S65/U65</f>
        <v>12.244897959183673</v>
      </c>
      <c r="X65" s="4">
        <f t="shared" ref="X65" si="136">T65/V65</f>
        <v>26.086956521739129</v>
      </c>
      <c r="Y65" s="4">
        <f t="shared" ref="Y65:Y68" si="137">X65-W65</f>
        <v>13.842058562555456</v>
      </c>
      <c r="Z65" s="4">
        <f t="shared" ref="Z65:Z67" si="138">T65-S65</f>
        <v>72</v>
      </c>
      <c r="AA65" s="4">
        <f t="shared" si="131"/>
        <v>1.7200000000000002</v>
      </c>
      <c r="AB65" s="4">
        <v>6</v>
      </c>
      <c r="AC65" s="11">
        <v>0.55560185185185185</v>
      </c>
      <c r="AD65" s="11">
        <v>0.55682870370370374</v>
      </c>
      <c r="AE65" s="4">
        <f t="shared" si="123"/>
        <v>106.00000000000378</v>
      </c>
      <c r="AF65" s="4">
        <f>(AD65-M65)*86400</f>
        <v>0</v>
      </c>
      <c r="AG65" s="4"/>
      <c r="AH65" s="4"/>
    </row>
    <row r="66" spans="1:34" x14ac:dyDescent="0.25">
      <c r="A66" s="3" t="s">
        <v>103</v>
      </c>
      <c r="B66" s="9">
        <v>43429</v>
      </c>
      <c r="C66" s="3">
        <v>2</v>
      </c>
      <c r="D66" s="3" t="s">
        <v>105</v>
      </c>
      <c r="E66" s="8">
        <v>0.55798611111111118</v>
      </c>
      <c r="F66" s="8">
        <v>0.5591666666666667</v>
      </c>
      <c r="G66" s="6">
        <f t="shared" si="19"/>
        <v>101.99999999999676</v>
      </c>
      <c r="H66" s="2">
        <v>2</v>
      </c>
      <c r="I66" s="2">
        <v>1</v>
      </c>
      <c r="J66" s="2">
        <v>141</v>
      </c>
      <c r="K66" s="2">
        <v>0</v>
      </c>
      <c r="L66" s="10">
        <v>0.55798611111111118</v>
      </c>
      <c r="M66" s="10">
        <v>0.5591666666666667</v>
      </c>
      <c r="N66" s="2">
        <f t="shared" si="99"/>
        <v>101.99999999999676</v>
      </c>
      <c r="O66" s="2"/>
      <c r="P66" s="13">
        <f t="shared" si="134"/>
        <v>0</v>
      </c>
      <c r="Q66" s="2">
        <v>0</v>
      </c>
      <c r="R66" s="7">
        <f t="shared" si="92"/>
        <v>0</v>
      </c>
      <c r="S66" s="4">
        <v>55</v>
      </c>
      <c r="T66" s="4">
        <v>71</v>
      </c>
      <c r="U66" s="4">
        <v>2.29</v>
      </c>
      <c r="V66" s="4">
        <v>2.14</v>
      </c>
      <c r="W66" s="4">
        <f t="shared" ref="W66" si="139">S66/U66</f>
        <v>24.017467248908297</v>
      </c>
      <c r="X66" s="4">
        <f t="shared" ref="X66" si="140">T66/V66</f>
        <v>33.177570093457945</v>
      </c>
      <c r="Y66" s="4">
        <f t="shared" si="137"/>
        <v>9.1601028445496482</v>
      </c>
      <c r="Z66" s="4">
        <f t="shared" si="138"/>
        <v>16</v>
      </c>
      <c r="AA66" s="4">
        <f t="shared" ref="AA66" si="141">V66-U66</f>
        <v>-0.14999999999999991</v>
      </c>
      <c r="AB66" s="4">
        <v>6</v>
      </c>
      <c r="AC66" s="11">
        <v>0.55798611111111118</v>
      </c>
      <c r="AD66" s="11">
        <v>0.5591666666666667</v>
      </c>
      <c r="AE66" s="4">
        <f t="shared" si="123"/>
        <v>101.99999999999676</v>
      </c>
      <c r="AF66" s="4">
        <f>(AD66-M66)*86400</f>
        <v>0</v>
      </c>
      <c r="AG66" s="4">
        <v>1</v>
      </c>
      <c r="AH66" s="4">
        <f t="shared" si="124"/>
        <v>1.6666666666666667</v>
      </c>
    </row>
    <row r="67" spans="1:34" x14ac:dyDescent="0.25">
      <c r="A67" s="3" t="s">
        <v>106</v>
      </c>
      <c r="B67" s="9">
        <v>43429</v>
      </c>
      <c r="C67" s="3">
        <v>3</v>
      </c>
      <c r="D67" s="3" t="s">
        <v>107</v>
      </c>
      <c r="E67" s="8">
        <v>0.65628472222222223</v>
      </c>
      <c r="F67" s="8">
        <v>0.65694444444444444</v>
      </c>
      <c r="G67" s="6">
        <f t="shared" si="19"/>
        <v>56.999999999999318</v>
      </c>
      <c r="H67" s="2">
        <v>1</v>
      </c>
      <c r="I67" s="2">
        <v>1</v>
      </c>
      <c r="J67" s="2">
        <v>95</v>
      </c>
      <c r="K67" s="2">
        <v>1</v>
      </c>
      <c r="L67" s="10">
        <v>0.65628472222222223</v>
      </c>
      <c r="M67" s="10">
        <v>0.65633101851851849</v>
      </c>
      <c r="N67" s="2">
        <f t="shared" si="99"/>
        <v>3.9999999999974278</v>
      </c>
      <c r="O67" s="2"/>
      <c r="P67" s="13">
        <f t="shared" si="134"/>
        <v>0</v>
      </c>
      <c r="Q67" s="2">
        <v>3</v>
      </c>
      <c r="R67" s="7">
        <f t="shared" si="92"/>
        <v>5</v>
      </c>
      <c r="S67" s="4">
        <v>403</v>
      </c>
      <c r="T67" s="4">
        <v>493</v>
      </c>
      <c r="U67" s="4">
        <v>12.23</v>
      </c>
      <c r="V67" s="4">
        <v>9.2200000000000006</v>
      </c>
      <c r="W67" s="4">
        <f t="shared" ref="W67" si="142">S67/U67</f>
        <v>32.951757972199509</v>
      </c>
      <c r="X67" s="4">
        <f t="shared" ref="X67" si="143">T67/V67</f>
        <v>53.470715835140993</v>
      </c>
      <c r="Y67" s="4">
        <f t="shared" si="137"/>
        <v>20.518957862941484</v>
      </c>
      <c r="Z67" s="4">
        <f t="shared" si="138"/>
        <v>90</v>
      </c>
      <c r="AA67" s="4">
        <f t="shared" ref="AA67:AA68" si="144">V67-U67</f>
        <v>-3.01</v>
      </c>
      <c r="AB67" s="4">
        <v>2</v>
      </c>
      <c r="AC67" s="11">
        <v>0.65628472222222223</v>
      </c>
      <c r="AD67" s="11">
        <v>0.65635416666666668</v>
      </c>
      <c r="AE67" s="4">
        <f t="shared" si="123"/>
        <v>6.0000000000009379</v>
      </c>
      <c r="AF67" s="4">
        <f>(AD69-M69)*86400</f>
        <v>15.999999999999304</v>
      </c>
      <c r="AG67" s="4">
        <v>7</v>
      </c>
      <c r="AH67" s="4">
        <f t="shared" si="124"/>
        <v>11.666666666666668</v>
      </c>
    </row>
    <row r="68" spans="1:34" x14ac:dyDescent="0.25">
      <c r="A68" s="3"/>
      <c r="B68" s="9">
        <v>43429</v>
      </c>
      <c r="C68" s="3">
        <v>3</v>
      </c>
      <c r="D68" s="3"/>
      <c r="E68" s="8"/>
      <c r="F68" s="8"/>
      <c r="G68" s="6"/>
      <c r="H68" s="2">
        <v>1</v>
      </c>
      <c r="I68" s="2"/>
      <c r="J68" s="2"/>
      <c r="K68" s="2">
        <v>1</v>
      </c>
      <c r="L68" s="10">
        <v>0.65635416666666668</v>
      </c>
      <c r="M68" s="10">
        <v>0.65637731481481476</v>
      </c>
      <c r="N68" s="2">
        <f t="shared" si="99"/>
        <v>1.9999999999939178</v>
      </c>
      <c r="O68" s="2"/>
      <c r="P68" s="2"/>
      <c r="Q68" s="2"/>
      <c r="R68" s="7"/>
      <c r="S68" s="4">
        <v>238</v>
      </c>
      <c r="T68" s="4">
        <v>210</v>
      </c>
      <c r="U68" s="4">
        <v>6.11</v>
      </c>
      <c r="V68" s="4">
        <v>6.9</v>
      </c>
      <c r="W68" s="4">
        <f t="shared" ref="W68" si="145">S68/U68</f>
        <v>38.952536824877249</v>
      </c>
      <c r="X68" s="4">
        <f t="shared" ref="X68" si="146">T68/V68</f>
        <v>30.434782608695652</v>
      </c>
      <c r="Y68" s="4">
        <f t="shared" si="137"/>
        <v>-8.5177542161815971</v>
      </c>
      <c r="Z68" s="4"/>
      <c r="AA68" s="4">
        <f t="shared" si="144"/>
        <v>0.79</v>
      </c>
      <c r="AB68" s="4">
        <v>2</v>
      </c>
      <c r="AC68" s="11">
        <v>0.65635416666666668</v>
      </c>
      <c r="AD68" s="11">
        <v>0.65666666666666662</v>
      </c>
      <c r="AE68" s="4">
        <f t="shared" si="123"/>
        <v>26.999999999994628</v>
      </c>
      <c r="AF68" s="4"/>
      <c r="AG68" s="4"/>
      <c r="AH68" s="4"/>
    </row>
    <row r="69" spans="1:34" x14ac:dyDescent="0.25">
      <c r="A69" s="3"/>
      <c r="B69" s="9">
        <v>43429</v>
      </c>
      <c r="C69" s="3">
        <v>3</v>
      </c>
      <c r="D69" s="3"/>
      <c r="E69" s="8"/>
      <c r="F69" s="8"/>
      <c r="G69" s="6"/>
      <c r="H69" s="2">
        <v>1</v>
      </c>
      <c r="I69" s="2"/>
      <c r="J69" s="2"/>
      <c r="K69" s="2">
        <v>1</v>
      </c>
      <c r="L69" s="10">
        <v>0.65667824074074077</v>
      </c>
      <c r="M69" s="10">
        <v>0.65675925925925926</v>
      </c>
      <c r="N69" s="2">
        <f t="shared" si="99"/>
        <v>6.9999999999978968</v>
      </c>
      <c r="O69" s="2"/>
      <c r="P69" s="2"/>
      <c r="Q69" s="2"/>
      <c r="R69" s="7"/>
      <c r="S69" s="4"/>
      <c r="T69" s="4"/>
      <c r="U69" s="4"/>
      <c r="V69" s="4"/>
      <c r="W69" s="4"/>
      <c r="X69" s="4"/>
      <c r="Y69" s="4"/>
      <c r="Z69" s="4"/>
      <c r="AA69" s="4"/>
      <c r="AB69" s="4">
        <v>2</v>
      </c>
      <c r="AC69" s="11">
        <v>0.65667824074074077</v>
      </c>
      <c r="AD69" s="11">
        <v>0.65694444444444444</v>
      </c>
      <c r="AE69" s="4">
        <f t="shared" si="123"/>
        <v>22.9999999999972</v>
      </c>
      <c r="AF69" s="4"/>
      <c r="AG69" s="4"/>
      <c r="AH69" s="4"/>
    </row>
    <row r="70" spans="1:34" x14ac:dyDescent="0.25">
      <c r="A70" s="3" t="s">
        <v>106</v>
      </c>
      <c r="B70" s="9">
        <v>43429</v>
      </c>
      <c r="C70" s="3">
        <v>3</v>
      </c>
      <c r="D70" s="3" t="s">
        <v>109</v>
      </c>
      <c r="E70" s="8">
        <v>0.65752314814814816</v>
      </c>
      <c r="F70" s="8">
        <v>0.65766203703703707</v>
      </c>
      <c r="G70" s="6">
        <f t="shared" ref="G70:G102" si="147">(F70-E70)*86400</f>
        <v>12.000000000001876</v>
      </c>
      <c r="H70" s="2">
        <v>1</v>
      </c>
      <c r="I70" s="2">
        <v>1</v>
      </c>
      <c r="J70" s="2">
        <v>95</v>
      </c>
      <c r="K70" s="2">
        <v>1</v>
      </c>
      <c r="L70" s="10">
        <v>0.65752314814814816</v>
      </c>
      <c r="M70" s="10">
        <v>0.65766203703703707</v>
      </c>
      <c r="N70" s="2">
        <f t="shared" si="99"/>
        <v>12.000000000001876</v>
      </c>
      <c r="O70" s="2"/>
      <c r="P70" s="13">
        <f t="shared" ref="P70:P71" si="148">(L70-E70)*86400</f>
        <v>0</v>
      </c>
      <c r="Q70" s="2">
        <v>1</v>
      </c>
      <c r="R70" s="7">
        <f t="shared" si="92"/>
        <v>1.6666666666666667</v>
      </c>
      <c r="S70" s="4">
        <v>92</v>
      </c>
      <c r="T70" s="4">
        <v>41</v>
      </c>
      <c r="U70" s="4">
        <v>3.21</v>
      </c>
      <c r="V70" s="4">
        <v>1.83</v>
      </c>
      <c r="W70" s="4">
        <f t="shared" ref="W70" si="149">S70/U70</f>
        <v>28.660436137071652</v>
      </c>
      <c r="X70" s="4">
        <f t="shared" ref="X70" si="150">T70/V70</f>
        <v>22.404371584699454</v>
      </c>
      <c r="Y70" s="4">
        <f>X70-W70</f>
        <v>-6.2560645523721981</v>
      </c>
      <c r="Z70" s="4">
        <f t="shared" ref="Z70:Z72" si="151">T70-S70</f>
        <v>-51</v>
      </c>
      <c r="AA70" s="4">
        <f t="shared" ref="AA70" si="152">V70-U70</f>
        <v>-1.38</v>
      </c>
      <c r="AB70" s="4">
        <v>2</v>
      </c>
      <c r="AC70" s="11">
        <v>0.65752314814814816</v>
      </c>
      <c r="AD70" s="11">
        <v>0.65766203703703707</v>
      </c>
      <c r="AE70" s="4">
        <f t="shared" si="123"/>
        <v>12.000000000001876</v>
      </c>
      <c r="AF70" s="4">
        <f>(AD70-M70)*86400</f>
        <v>0</v>
      </c>
      <c r="AG70" s="4">
        <v>2</v>
      </c>
      <c r="AH70" s="4">
        <f t="shared" si="124"/>
        <v>3.3333333333333335</v>
      </c>
    </row>
    <row r="71" spans="1:34" x14ac:dyDescent="0.25">
      <c r="A71" s="3" t="s">
        <v>108</v>
      </c>
      <c r="B71" s="9">
        <v>43430</v>
      </c>
      <c r="C71" s="3">
        <v>1</v>
      </c>
      <c r="D71" s="3" t="s">
        <v>110</v>
      </c>
      <c r="E71" s="8">
        <v>0.29630787037037037</v>
      </c>
      <c r="F71" s="8">
        <v>0.29707175925925927</v>
      </c>
      <c r="G71" s="6">
        <f t="shared" si="147"/>
        <v>66.000000000000725</v>
      </c>
      <c r="H71" s="2">
        <v>2</v>
      </c>
      <c r="I71" s="2">
        <v>1</v>
      </c>
      <c r="J71" s="2">
        <v>123</v>
      </c>
      <c r="K71" s="2">
        <v>0</v>
      </c>
      <c r="L71" s="10"/>
      <c r="M71" s="10"/>
      <c r="N71" s="2">
        <f t="shared" si="99"/>
        <v>0</v>
      </c>
      <c r="O71" s="2"/>
      <c r="P71" s="13">
        <f t="shared" si="148"/>
        <v>-25601</v>
      </c>
      <c r="Q71" s="2"/>
      <c r="R71" s="7">
        <v>0</v>
      </c>
      <c r="S71" s="4">
        <v>337</v>
      </c>
      <c r="T71" s="4">
        <v>384</v>
      </c>
      <c r="U71" s="4">
        <v>13.07</v>
      </c>
      <c r="V71" s="4">
        <v>11.65</v>
      </c>
      <c r="W71" s="4">
        <f t="shared" ref="W71" si="153">S71/U71</f>
        <v>25.784238714613618</v>
      </c>
      <c r="X71" s="4">
        <f t="shared" ref="X71" si="154">T71/V71</f>
        <v>32.961373390557938</v>
      </c>
      <c r="Y71" s="4">
        <f t="shared" ref="Y71:Y72" si="155">X71-W71</f>
        <v>7.1771346759443198</v>
      </c>
      <c r="Z71" s="4">
        <f t="shared" si="151"/>
        <v>47</v>
      </c>
      <c r="AA71" s="4">
        <f t="shared" ref="AA71" si="156">V71-U71</f>
        <v>-1.42</v>
      </c>
      <c r="AB71" s="4">
        <v>4</v>
      </c>
      <c r="AC71" s="11">
        <v>0.29630787037037037</v>
      </c>
      <c r="AD71" s="11">
        <v>0.29707175925925927</v>
      </c>
      <c r="AE71" s="4">
        <f t="shared" si="123"/>
        <v>66.000000000000725</v>
      </c>
      <c r="AF71" s="4">
        <f>(AD71-M71)*86400</f>
        <v>25667</v>
      </c>
      <c r="AG71" s="4">
        <v>2</v>
      </c>
      <c r="AH71" s="4">
        <f t="shared" si="124"/>
        <v>3.3333333333333335</v>
      </c>
    </row>
    <row r="72" spans="1:34" x14ac:dyDescent="0.25">
      <c r="A72" s="3" t="s">
        <v>111</v>
      </c>
      <c r="B72" s="9">
        <v>43430</v>
      </c>
      <c r="C72" s="3">
        <v>1</v>
      </c>
      <c r="D72" s="3" t="s">
        <v>112</v>
      </c>
      <c r="E72" s="8">
        <v>0.299375</v>
      </c>
      <c r="F72" s="8">
        <v>0.30010416666666667</v>
      </c>
      <c r="G72" s="6">
        <f t="shared" si="147"/>
        <v>63.000000000000256</v>
      </c>
      <c r="H72" s="2">
        <v>2</v>
      </c>
      <c r="I72" s="2">
        <v>1</v>
      </c>
      <c r="J72" s="2">
        <v>124</v>
      </c>
      <c r="K72" s="2">
        <v>0</v>
      </c>
      <c r="L72" s="10">
        <v>0.299375</v>
      </c>
      <c r="M72" s="10">
        <v>0.29971064814814813</v>
      </c>
      <c r="N72" s="2">
        <f t="shared" si="99"/>
        <v>28.999999999998138</v>
      </c>
      <c r="O72" s="2">
        <v>1</v>
      </c>
      <c r="P72" s="13">
        <f>(L73-E72)*86400</f>
        <v>28.999999999998138</v>
      </c>
      <c r="Q72" s="2">
        <v>1</v>
      </c>
      <c r="R72" s="7">
        <f t="shared" si="92"/>
        <v>1.6666666666666667</v>
      </c>
      <c r="S72" s="4">
        <v>366</v>
      </c>
      <c r="T72" s="4">
        <v>301</v>
      </c>
      <c r="U72" s="4">
        <v>13.52</v>
      </c>
      <c r="V72" s="4">
        <v>11.36</v>
      </c>
      <c r="W72" s="4">
        <f t="shared" ref="W72" si="157">S72/U72</f>
        <v>27.071005917159763</v>
      </c>
      <c r="X72" s="4">
        <f t="shared" ref="X72" si="158">T72/V72</f>
        <v>26.49647887323944</v>
      </c>
      <c r="Y72" s="4">
        <f t="shared" si="155"/>
        <v>-0.57452704392032317</v>
      </c>
      <c r="Z72" s="4">
        <f t="shared" si="151"/>
        <v>-65</v>
      </c>
      <c r="AA72" s="4">
        <f t="shared" ref="AA72" si="159">V72-U72</f>
        <v>-2.16</v>
      </c>
      <c r="AB72" s="4">
        <v>5</v>
      </c>
      <c r="AC72" s="11">
        <v>0.299375</v>
      </c>
      <c r="AD72" s="11">
        <v>0.29971064814814813</v>
      </c>
      <c r="AE72" s="4">
        <f t="shared" si="123"/>
        <v>28.999999999998138</v>
      </c>
      <c r="AF72" s="4">
        <f>(AD73-M73)*86400</f>
        <v>31.999999999998607</v>
      </c>
      <c r="AG72" s="4">
        <v>4</v>
      </c>
      <c r="AH72" s="4">
        <f t="shared" si="124"/>
        <v>6.666666666666667</v>
      </c>
    </row>
    <row r="73" spans="1:34" x14ac:dyDescent="0.25">
      <c r="A73" s="3"/>
      <c r="B73" s="9">
        <v>43430</v>
      </c>
      <c r="C73" s="3">
        <v>1</v>
      </c>
      <c r="D73" s="3"/>
      <c r="E73" s="8"/>
      <c r="F73" s="8"/>
      <c r="G73" s="6"/>
      <c r="H73" s="2">
        <v>2</v>
      </c>
      <c r="I73" s="2"/>
      <c r="J73" s="2"/>
      <c r="K73" s="2">
        <v>1</v>
      </c>
      <c r="L73" s="10">
        <v>0.29971064814814813</v>
      </c>
      <c r="M73" s="10">
        <v>0.29973379629629632</v>
      </c>
      <c r="N73" s="2">
        <f t="shared" si="99"/>
        <v>2.0000000000035101</v>
      </c>
      <c r="O73" s="2"/>
      <c r="P73" s="2"/>
      <c r="Q73" s="2"/>
      <c r="R73" s="7"/>
      <c r="S73" s="4"/>
      <c r="T73" s="4"/>
      <c r="U73" s="4"/>
      <c r="V73" s="4"/>
      <c r="W73" s="4"/>
      <c r="X73" s="4"/>
      <c r="Y73" s="4"/>
      <c r="Z73" s="4"/>
      <c r="AA73" s="4"/>
      <c r="AB73" s="4">
        <v>1</v>
      </c>
      <c r="AC73" s="11">
        <v>0.29971064814814813</v>
      </c>
      <c r="AD73" s="11">
        <v>0.30010416666666667</v>
      </c>
      <c r="AE73" s="4">
        <f t="shared" si="123"/>
        <v>34.000000000002117</v>
      </c>
      <c r="AF73" s="4"/>
      <c r="AG73" s="4"/>
      <c r="AH73" s="4"/>
    </row>
    <row r="74" spans="1:34" x14ac:dyDescent="0.25">
      <c r="A74" s="3" t="s">
        <v>113</v>
      </c>
      <c r="B74" s="9">
        <v>43430</v>
      </c>
      <c r="C74" s="3">
        <v>1</v>
      </c>
      <c r="D74" s="3" t="s">
        <v>114</v>
      </c>
      <c r="E74" s="8">
        <v>0.31861111111111112</v>
      </c>
      <c r="F74" s="8">
        <v>0.32262731481481483</v>
      </c>
      <c r="G74" s="6">
        <f t="shared" si="147"/>
        <v>346.99999999999989</v>
      </c>
      <c r="H74" s="2">
        <v>2</v>
      </c>
      <c r="I74" s="2">
        <v>1</v>
      </c>
      <c r="J74" s="2">
        <v>116</v>
      </c>
      <c r="K74" s="2">
        <v>0</v>
      </c>
      <c r="L74" s="10">
        <v>0.31861111111111112</v>
      </c>
      <c r="M74" s="10">
        <v>0.31913194444444443</v>
      </c>
      <c r="N74" s="2">
        <f t="shared" si="99"/>
        <v>44.999999999997442</v>
      </c>
      <c r="O74" s="2">
        <v>1</v>
      </c>
      <c r="P74" s="13">
        <f>(L75-E74)*86400</f>
        <v>44.999999999997442</v>
      </c>
      <c r="Q74" s="2">
        <v>1</v>
      </c>
      <c r="R74" s="7">
        <f t="shared" si="92"/>
        <v>1.6666666666666667</v>
      </c>
      <c r="S74" s="4">
        <v>475</v>
      </c>
      <c r="T74" s="4">
        <v>520</v>
      </c>
      <c r="U74" s="4">
        <v>12.56</v>
      </c>
      <c r="V74" s="4">
        <v>12.76</v>
      </c>
      <c r="W74" s="4">
        <f t="shared" ref="W74" si="160">S74/U74</f>
        <v>37.818471337579616</v>
      </c>
      <c r="X74" s="4">
        <f t="shared" ref="X74" si="161">T74/V74</f>
        <v>40.752351097178682</v>
      </c>
      <c r="Y74" s="4">
        <f>X74-W74</f>
        <v>2.9338797595990656</v>
      </c>
      <c r="Z74" s="4">
        <f>T74-S74</f>
        <v>45</v>
      </c>
      <c r="AA74" s="4">
        <f t="shared" ref="AA74" si="162">V74-U74</f>
        <v>0.19999999999999929</v>
      </c>
      <c r="AB74" s="4">
        <v>4</v>
      </c>
      <c r="AC74" s="11">
        <v>0.31861111111111112</v>
      </c>
      <c r="AD74" s="11">
        <v>0.31913194444444443</v>
      </c>
      <c r="AE74" s="4">
        <f t="shared" si="123"/>
        <v>44.999999999997442</v>
      </c>
      <c r="AF74" s="4">
        <f>(AD76-M76)*86400</f>
        <v>4.000000000002224</v>
      </c>
      <c r="AG74" s="4">
        <v>12</v>
      </c>
      <c r="AH74" s="4">
        <v>13.3</v>
      </c>
    </row>
    <row r="75" spans="1:34" x14ac:dyDescent="0.25">
      <c r="A75" s="3"/>
      <c r="B75" s="9">
        <v>43430</v>
      </c>
      <c r="C75" s="3">
        <v>1</v>
      </c>
      <c r="D75" s="3"/>
      <c r="E75" s="8"/>
      <c r="F75" s="8"/>
      <c r="G75" s="6"/>
      <c r="H75" s="2">
        <v>2</v>
      </c>
      <c r="I75" s="2"/>
      <c r="J75" s="2"/>
      <c r="K75" s="2">
        <v>1</v>
      </c>
      <c r="L75" s="10">
        <v>0.31913194444444443</v>
      </c>
      <c r="M75" s="10">
        <v>0.31914351851851852</v>
      </c>
      <c r="N75" s="2">
        <f t="shared" si="99"/>
        <v>1.000000000001755</v>
      </c>
      <c r="O75" s="2"/>
      <c r="P75" s="2"/>
      <c r="Q75" s="2"/>
      <c r="R75" s="7"/>
      <c r="S75" s="4"/>
      <c r="T75" s="4"/>
      <c r="U75" s="4"/>
      <c r="V75" s="4"/>
      <c r="W75" s="4"/>
      <c r="X75" s="4"/>
      <c r="Y75" s="4"/>
      <c r="Z75" s="4"/>
      <c r="AA75" s="4"/>
      <c r="AB75" s="4">
        <v>1</v>
      </c>
      <c r="AC75" s="11">
        <v>0.31913194444444443</v>
      </c>
      <c r="AD75" s="11">
        <v>0.31920138888888888</v>
      </c>
      <c r="AE75" s="4">
        <f t="shared" si="123"/>
        <v>6.0000000000009379</v>
      </c>
      <c r="AF75" s="4"/>
      <c r="AG75" s="4"/>
      <c r="AH75" s="4"/>
    </row>
    <row r="76" spans="1:34" x14ac:dyDescent="0.25">
      <c r="A76" s="3"/>
      <c r="B76" s="9">
        <v>43430</v>
      </c>
      <c r="C76" s="3">
        <v>1</v>
      </c>
      <c r="D76" s="3"/>
      <c r="E76" s="8"/>
      <c r="F76" s="8"/>
      <c r="G76" s="6"/>
      <c r="H76" s="2">
        <v>2</v>
      </c>
      <c r="I76" s="2"/>
      <c r="J76" s="2"/>
      <c r="K76" s="2">
        <v>0</v>
      </c>
      <c r="L76" s="10">
        <v>0.31920138888888888</v>
      </c>
      <c r="M76" s="10">
        <v>0.3225810185185185</v>
      </c>
      <c r="N76" s="2">
        <f t="shared" si="99"/>
        <v>291.99999999999926</v>
      </c>
      <c r="O76" s="2"/>
      <c r="P76" s="2"/>
      <c r="Q76" s="2"/>
      <c r="R76" s="7"/>
      <c r="S76" s="4"/>
      <c r="T76" s="4"/>
      <c r="U76" s="4"/>
      <c r="V76" s="4"/>
      <c r="W76" s="4"/>
      <c r="X76" s="4"/>
      <c r="Y76" s="4"/>
      <c r="Z76" s="4"/>
      <c r="AA76" s="4"/>
      <c r="AB76" s="4">
        <v>4</v>
      </c>
      <c r="AC76" s="11">
        <v>0.31920138888888888</v>
      </c>
      <c r="AD76" s="11">
        <v>0.32262731481481483</v>
      </c>
      <c r="AE76" s="4">
        <f t="shared" si="123"/>
        <v>296.00000000000148</v>
      </c>
      <c r="AF76" s="4"/>
      <c r="AG76" s="4"/>
      <c r="AH76" s="4"/>
    </row>
    <row r="77" spans="1:34" x14ac:dyDescent="0.25">
      <c r="A77" s="3" t="s">
        <v>116</v>
      </c>
      <c r="B77" s="9">
        <v>43430</v>
      </c>
      <c r="C77" s="3">
        <v>3</v>
      </c>
      <c r="D77" s="3" t="s">
        <v>115</v>
      </c>
      <c r="E77" s="8">
        <v>0.65385416666666674</v>
      </c>
      <c r="F77" s="8">
        <v>0.65427083333333336</v>
      </c>
      <c r="G77" s="6">
        <f t="shared" si="147"/>
        <v>35.999999999996035</v>
      </c>
      <c r="H77" s="2">
        <v>2</v>
      </c>
      <c r="I77" s="2">
        <v>1</v>
      </c>
      <c r="J77" s="2">
        <v>140</v>
      </c>
      <c r="K77" s="2">
        <v>0</v>
      </c>
      <c r="L77" s="10">
        <v>0.65385416666666674</v>
      </c>
      <c r="M77" s="10">
        <v>0.65416666666666667</v>
      </c>
      <c r="N77" s="2">
        <f t="shared" si="99"/>
        <v>26.999999999994628</v>
      </c>
      <c r="O77" s="2">
        <v>1</v>
      </c>
      <c r="P77" s="13">
        <f>(L78-E77)*86400</f>
        <v>26.999999999994628</v>
      </c>
      <c r="Q77" s="2">
        <v>1</v>
      </c>
      <c r="R77" s="7">
        <f t="shared" si="92"/>
        <v>1.6666666666666667</v>
      </c>
      <c r="S77" s="4">
        <v>444</v>
      </c>
      <c r="T77" s="4">
        <v>402</v>
      </c>
      <c r="U77" s="4">
        <v>12.93</v>
      </c>
      <c r="V77" s="4">
        <v>10.86</v>
      </c>
      <c r="W77" s="4">
        <f t="shared" ref="W77" si="163">S77/U77</f>
        <v>34.338747099767986</v>
      </c>
      <c r="X77" s="4">
        <f t="shared" ref="X77" si="164">T77/V77</f>
        <v>37.016574585635361</v>
      </c>
      <c r="Y77" s="4">
        <f>X77-W77</f>
        <v>2.6778274858673754</v>
      </c>
      <c r="Z77" s="4">
        <f>T77-S77</f>
        <v>-42</v>
      </c>
      <c r="AA77" s="4">
        <f t="shared" ref="AA77" si="165">V77-U77</f>
        <v>-2.0700000000000003</v>
      </c>
      <c r="AB77" s="4">
        <v>4</v>
      </c>
      <c r="AC77" s="11">
        <v>0.65385416666666674</v>
      </c>
      <c r="AD77" s="11">
        <v>0.65416666666666667</v>
      </c>
      <c r="AE77" s="4">
        <f t="shared" si="123"/>
        <v>26.999999999994628</v>
      </c>
      <c r="AF77" s="4">
        <f>(AD78-M78)*86400</f>
        <v>7.0000000000074891</v>
      </c>
      <c r="AG77" s="4">
        <v>3</v>
      </c>
      <c r="AH77" s="4">
        <f t="shared" si="124"/>
        <v>5</v>
      </c>
    </row>
    <row r="78" spans="1:34" x14ac:dyDescent="0.25">
      <c r="A78" s="3"/>
      <c r="B78" s="9">
        <v>43430</v>
      </c>
      <c r="C78" s="3">
        <v>3</v>
      </c>
      <c r="D78" s="3"/>
      <c r="E78" s="8"/>
      <c r="F78" s="8"/>
      <c r="G78" s="6"/>
      <c r="H78" s="2">
        <v>2</v>
      </c>
      <c r="I78" s="2"/>
      <c r="J78" s="2"/>
      <c r="K78" s="2">
        <v>1</v>
      </c>
      <c r="L78" s="10">
        <v>0.65416666666666667</v>
      </c>
      <c r="M78" s="10">
        <v>0.65418981481481475</v>
      </c>
      <c r="N78" s="2">
        <f t="shared" si="99"/>
        <v>1.9999999999939178</v>
      </c>
      <c r="O78" s="2"/>
      <c r="P78" s="2"/>
      <c r="Q78" s="2"/>
      <c r="R78" s="7"/>
      <c r="S78" s="4"/>
      <c r="T78" s="4"/>
      <c r="U78" s="4"/>
      <c r="V78" s="4"/>
      <c r="W78" s="4"/>
      <c r="X78" s="4"/>
      <c r="Y78" s="4"/>
      <c r="Z78" s="4"/>
      <c r="AA78" s="4"/>
      <c r="AB78" s="4">
        <v>2</v>
      </c>
      <c r="AC78" s="11">
        <v>0.65416666666666667</v>
      </c>
      <c r="AD78" s="11">
        <v>0.65427083333333336</v>
      </c>
      <c r="AE78" s="4">
        <f t="shared" si="123"/>
        <v>9.0000000000014069</v>
      </c>
      <c r="AF78" s="4"/>
      <c r="AG78" s="4"/>
      <c r="AH78" s="4"/>
    </row>
    <row r="79" spans="1:34" x14ac:dyDescent="0.25">
      <c r="A79" s="3" t="s">
        <v>116</v>
      </c>
      <c r="B79" s="9">
        <v>43430</v>
      </c>
      <c r="C79" s="3">
        <v>3</v>
      </c>
      <c r="D79" s="3" t="s">
        <v>117</v>
      </c>
      <c r="E79" s="8">
        <v>0.65516203703703701</v>
      </c>
      <c r="F79" s="8">
        <v>0.6560300925925926</v>
      </c>
      <c r="G79" s="6">
        <f t="shared" si="147"/>
        <v>75.000000000002132</v>
      </c>
      <c r="H79" s="2">
        <v>2</v>
      </c>
      <c r="I79" s="2">
        <v>1</v>
      </c>
      <c r="J79" s="2">
        <v>118</v>
      </c>
      <c r="K79" s="2">
        <v>0</v>
      </c>
      <c r="L79" s="10"/>
      <c r="M79" s="10"/>
      <c r="N79" s="2">
        <f t="shared" si="99"/>
        <v>0</v>
      </c>
      <c r="O79" s="2"/>
      <c r="P79" s="13">
        <f>(L79-E79)*86400</f>
        <v>-56606</v>
      </c>
      <c r="Q79" s="2">
        <v>0</v>
      </c>
      <c r="R79" s="7">
        <f t="shared" si="92"/>
        <v>0</v>
      </c>
      <c r="S79" s="4">
        <v>474</v>
      </c>
      <c r="T79" s="4">
        <v>385</v>
      </c>
      <c r="U79" s="4">
        <v>13.26</v>
      </c>
      <c r="V79" s="4">
        <v>13.86</v>
      </c>
      <c r="W79" s="4">
        <f t="shared" ref="W79" si="166">S79/U79</f>
        <v>35.74660633484163</v>
      </c>
      <c r="X79" s="4">
        <f t="shared" ref="X79" si="167">T79/V79</f>
        <v>27.777777777777779</v>
      </c>
      <c r="Y79" s="4">
        <f t="shared" ref="Y79:Y81" si="168">X79-W79</f>
        <v>-7.9688285570638513</v>
      </c>
      <c r="Z79" s="4">
        <f t="shared" ref="Z79:Z80" si="169">T79-S79</f>
        <v>-89</v>
      </c>
      <c r="AA79" s="4">
        <f t="shared" ref="AA79" si="170">V79-U79</f>
        <v>0.59999999999999964</v>
      </c>
      <c r="AB79" s="4">
        <v>6</v>
      </c>
      <c r="AC79" s="11">
        <v>0.65516203703703701</v>
      </c>
      <c r="AD79" s="11">
        <v>0.6560300925925926</v>
      </c>
      <c r="AE79" s="4">
        <f t="shared" si="123"/>
        <v>75.000000000002132</v>
      </c>
      <c r="AF79" s="4">
        <f>(AD79-M79)*86400</f>
        <v>56681</v>
      </c>
      <c r="AG79" s="4">
        <v>1</v>
      </c>
      <c r="AH79" s="4">
        <f t="shared" si="124"/>
        <v>1.6666666666666667</v>
      </c>
    </row>
    <row r="80" spans="1:34" x14ac:dyDescent="0.25">
      <c r="A80" s="3" t="s">
        <v>119</v>
      </c>
      <c r="B80" s="9">
        <v>43432</v>
      </c>
      <c r="C80" s="3">
        <v>3</v>
      </c>
      <c r="D80" s="3" t="s">
        <v>118</v>
      </c>
      <c r="E80" s="8">
        <v>0.65108796296296301</v>
      </c>
      <c r="F80" s="8">
        <v>0.65259259259259261</v>
      </c>
      <c r="G80" s="6">
        <f t="shared" si="147"/>
        <v>129.99999999999795</v>
      </c>
      <c r="H80" s="2">
        <v>2</v>
      </c>
      <c r="I80" s="2">
        <v>1</v>
      </c>
      <c r="J80" s="2">
        <v>126</v>
      </c>
      <c r="K80" s="2">
        <v>0</v>
      </c>
      <c r="L80" s="10">
        <v>0.65108796296296301</v>
      </c>
      <c r="M80" s="10">
        <v>0.65126157407407403</v>
      </c>
      <c r="N80" s="2">
        <f t="shared" si="99"/>
        <v>14.999999999992752</v>
      </c>
      <c r="O80" s="2">
        <v>1</v>
      </c>
      <c r="P80" s="13">
        <f>(L81-E80)*86400</f>
        <v>15.999999999999304</v>
      </c>
      <c r="Q80" s="2">
        <v>1</v>
      </c>
      <c r="R80" s="7">
        <f t="shared" si="92"/>
        <v>1.6666666666666667</v>
      </c>
      <c r="S80" s="4">
        <v>278</v>
      </c>
      <c r="T80" s="4">
        <v>393</v>
      </c>
      <c r="U80" s="4">
        <v>8.1199999999999992</v>
      </c>
      <c r="V80" s="4">
        <v>10.68</v>
      </c>
      <c r="W80" s="4">
        <f t="shared" ref="W80:W84" si="171">S80/U80</f>
        <v>34.236453201970448</v>
      </c>
      <c r="X80" s="4">
        <f t="shared" ref="X80:X84" si="172">T80/V80</f>
        <v>36.797752808988768</v>
      </c>
      <c r="Y80" s="4">
        <f t="shared" si="168"/>
        <v>2.56129960701832</v>
      </c>
      <c r="Z80" s="4">
        <f t="shared" si="169"/>
        <v>115</v>
      </c>
      <c r="AA80" s="4">
        <f t="shared" ref="AA80:AA84" si="173">V80-U80</f>
        <v>2.5600000000000005</v>
      </c>
      <c r="AB80" s="4">
        <v>6</v>
      </c>
      <c r="AC80" s="11">
        <v>0.65108796296296301</v>
      </c>
      <c r="AD80" s="11">
        <v>0.65126157407407403</v>
      </c>
      <c r="AE80" s="4">
        <f t="shared" si="123"/>
        <v>14.999999999992752</v>
      </c>
      <c r="AF80" s="4">
        <f>(AD82-M82)*86400</f>
        <v>3.9999999999974278</v>
      </c>
      <c r="AG80" s="4">
        <v>6</v>
      </c>
      <c r="AH80" s="4">
        <f t="shared" si="124"/>
        <v>10</v>
      </c>
    </row>
    <row r="81" spans="1:34" x14ac:dyDescent="0.25">
      <c r="A81" s="3"/>
      <c r="B81" s="9">
        <v>43432</v>
      </c>
      <c r="C81" s="3">
        <v>3</v>
      </c>
      <c r="D81" s="3"/>
      <c r="E81" s="8"/>
      <c r="F81" s="8"/>
      <c r="G81" s="6"/>
      <c r="H81" s="2">
        <v>2</v>
      </c>
      <c r="I81" s="2"/>
      <c r="J81" s="2"/>
      <c r="K81" s="2">
        <v>1</v>
      </c>
      <c r="L81" s="10">
        <v>0.65127314814814818</v>
      </c>
      <c r="M81" s="10">
        <v>0.65129629629629626</v>
      </c>
      <c r="N81" s="2">
        <f t="shared" si="99"/>
        <v>1.9999999999939178</v>
      </c>
      <c r="O81" s="2"/>
      <c r="P81" s="2"/>
      <c r="Q81" s="2"/>
      <c r="R81" s="7"/>
      <c r="S81" s="4">
        <v>491</v>
      </c>
      <c r="T81" s="4">
        <v>518</v>
      </c>
      <c r="U81" s="4">
        <v>7.31</v>
      </c>
      <c r="V81" s="4">
        <v>9.36</v>
      </c>
      <c r="W81" s="4">
        <f t="shared" ref="W81" si="174">S81/U81</f>
        <v>67.168262653898779</v>
      </c>
      <c r="X81" s="4">
        <f t="shared" ref="X81" si="175">T81/V81</f>
        <v>55.341880341880348</v>
      </c>
      <c r="Y81" s="4">
        <f t="shared" si="168"/>
        <v>-11.826382312018431</v>
      </c>
      <c r="Z81" s="4"/>
      <c r="AA81" s="4">
        <f t="shared" ref="AA81" si="176">V81-U81</f>
        <v>2.0499999999999998</v>
      </c>
      <c r="AB81" s="4">
        <v>2</v>
      </c>
      <c r="AC81" s="11">
        <v>0.65127314814814818</v>
      </c>
      <c r="AD81" s="11">
        <v>0.65140046296296295</v>
      </c>
      <c r="AE81" s="4">
        <f t="shared" si="123"/>
        <v>10.999999999995325</v>
      </c>
      <c r="AF81" s="4"/>
      <c r="AG81" s="4"/>
      <c r="AH81" s="4"/>
    </row>
    <row r="82" spans="1:34" x14ac:dyDescent="0.25">
      <c r="A82" s="3"/>
      <c r="B82" s="9">
        <v>43432</v>
      </c>
      <c r="C82" s="3">
        <v>3</v>
      </c>
      <c r="D82" s="3"/>
      <c r="E82" s="8"/>
      <c r="F82" s="8"/>
      <c r="G82" s="6"/>
      <c r="H82" s="2">
        <v>2</v>
      </c>
      <c r="I82" s="2"/>
      <c r="J82" s="2"/>
      <c r="K82" s="2">
        <v>0</v>
      </c>
      <c r="L82" s="10">
        <v>0.65166666666666673</v>
      </c>
      <c r="M82" s="10">
        <v>0.65254629629629635</v>
      </c>
      <c r="N82" s="2">
        <f t="shared" si="99"/>
        <v>75.999999999999091</v>
      </c>
      <c r="O82" s="2"/>
      <c r="P82" s="2"/>
      <c r="Q82" s="2"/>
      <c r="R82" s="7"/>
      <c r="S82" s="4"/>
      <c r="T82" s="4"/>
      <c r="U82" s="4"/>
      <c r="V82" s="4"/>
      <c r="W82" s="4"/>
      <c r="X82" s="4"/>
      <c r="Y82" s="4"/>
      <c r="Z82" s="4"/>
      <c r="AA82" s="4"/>
      <c r="AB82" s="4">
        <v>5</v>
      </c>
      <c r="AC82" s="11">
        <v>0.65166666666666673</v>
      </c>
      <c r="AD82" s="11">
        <v>0.65259259259259261</v>
      </c>
      <c r="AE82" s="4">
        <f t="shared" si="123"/>
        <v>79.999999999996518</v>
      </c>
      <c r="AF82" s="4"/>
      <c r="AG82" s="4"/>
      <c r="AH82" s="4"/>
    </row>
    <row r="83" spans="1:34" x14ac:dyDescent="0.25">
      <c r="A83" s="3" t="s">
        <v>120</v>
      </c>
      <c r="B83" s="9">
        <v>43432</v>
      </c>
      <c r="C83" s="3">
        <v>3</v>
      </c>
      <c r="D83" s="3" t="s">
        <v>121</v>
      </c>
      <c r="E83" s="8">
        <v>0.65524305555555562</v>
      </c>
      <c r="F83" s="8">
        <v>0.65570601851851851</v>
      </c>
      <c r="G83" s="6">
        <f t="shared" si="147"/>
        <v>39.999999999993463</v>
      </c>
      <c r="H83" s="2">
        <v>2</v>
      </c>
      <c r="I83" s="2">
        <v>1</v>
      </c>
      <c r="J83" s="2">
        <v>126</v>
      </c>
      <c r="K83" s="2">
        <v>0</v>
      </c>
      <c r="L83" s="10"/>
      <c r="M83" s="10"/>
      <c r="N83" s="2">
        <f t="shared" si="99"/>
        <v>0</v>
      </c>
      <c r="O83" s="2"/>
      <c r="P83" s="13">
        <f t="shared" ref="P83" si="177">(L83-E83)*86400</f>
        <v>-56613.000000000007</v>
      </c>
      <c r="Q83" s="2">
        <v>0</v>
      </c>
      <c r="R83" s="7">
        <f t="shared" si="92"/>
        <v>0</v>
      </c>
      <c r="S83" s="4">
        <v>506</v>
      </c>
      <c r="T83" s="4">
        <v>460</v>
      </c>
      <c r="U83" s="4">
        <v>13.28</v>
      </c>
      <c r="V83" s="4">
        <v>12.16</v>
      </c>
      <c r="W83" s="4">
        <f t="shared" si="171"/>
        <v>38.102409638554221</v>
      </c>
      <c r="X83" s="4">
        <f t="shared" si="172"/>
        <v>37.828947368421055</v>
      </c>
      <c r="Y83" s="4">
        <f t="shared" ref="Y83:Y84" si="178">X83-W83</f>
        <v>-0.27346227013316593</v>
      </c>
      <c r="Z83" s="4">
        <f t="shared" ref="Z83:Z84" si="179">T83-S83</f>
        <v>-46</v>
      </c>
      <c r="AA83" s="4">
        <f t="shared" si="173"/>
        <v>-1.1199999999999992</v>
      </c>
      <c r="AB83" s="4">
        <v>6</v>
      </c>
      <c r="AC83" s="11">
        <v>0.65524305555555562</v>
      </c>
      <c r="AD83" s="11">
        <v>0.65570601851851851</v>
      </c>
      <c r="AE83" s="4">
        <f t="shared" si="123"/>
        <v>39.999999999993463</v>
      </c>
      <c r="AF83" s="4">
        <f>(AD83-M83)*86400</f>
        <v>56653</v>
      </c>
      <c r="AG83" s="4">
        <v>1</v>
      </c>
      <c r="AH83" s="4">
        <f t="shared" si="124"/>
        <v>1.6666666666666667</v>
      </c>
    </row>
    <row r="84" spans="1:34" x14ac:dyDescent="0.25">
      <c r="A84" s="3" t="s">
        <v>120</v>
      </c>
      <c r="B84" s="9">
        <v>43432</v>
      </c>
      <c r="C84" s="3">
        <v>3</v>
      </c>
      <c r="D84" s="3" t="s">
        <v>122</v>
      </c>
      <c r="E84" s="8">
        <v>0.65743055555555563</v>
      </c>
      <c r="F84" s="8">
        <v>0.65840277777777778</v>
      </c>
      <c r="G84" s="6">
        <f t="shared" si="147"/>
        <v>83.999999999993946</v>
      </c>
      <c r="H84" s="2">
        <v>2</v>
      </c>
      <c r="I84" s="2">
        <v>1</v>
      </c>
      <c r="J84" s="2">
        <v>126</v>
      </c>
      <c r="K84" s="2">
        <v>0</v>
      </c>
      <c r="L84" s="10">
        <v>0.65743055555555563</v>
      </c>
      <c r="M84" s="10">
        <v>0.65789351851851852</v>
      </c>
      <c r="N84" s="2">
        <f t="shared" si="99"/>
        <v>39.999999999993463</v>
      </c>
      <c r="O84" s="2">
        <v>1</v>
      </c>
      <c r="P84" s="13">
        <f>(L85-E84)*86400</f>
        <v>39.999999999993463</v>
      </c>
      <c r="Q84" s="2">
        <v>1</v>
      </c>
      <c r="R84" s="7">
        <f t="shared" si="92"/>
        <v>1.6666666666666667</v>
      </c>
      <c r="S84" s="4">
        <v>485</v>
      </c>
      <c r="T84" s="4">
        <v>379</v>
      </c>
      <c r="U84" s="4">
        <v>12.73</v>
      </c>
      <c r="V84" s="4">
        <v>10.67</v>
      </c>
      <c r="W84" s="4">
        <f t="shared" si="171"/>
        <v>38.098978790259231</v>
      </c>
      <c r="X84" s="4">
        <f t="shared" si="172"/>
        <v>35.520149953139644</v>
      </c>
      <c r="Y84" s="4">
        <f t="shared" si="178"/>
        <v>-2.5788288371195875</v>
      </c>
      <c r="Z84" s="4">
        <f t="shared" si="179"/>
        <v>-106</v>
      </c>
      <c r="AA84" s="4">
        <f t="shared" si="173"/>
        <v>-2.0600000000000005</v>
      </c>
      <c r="AB84" s="4">
        <v>4</v>
      </c>
      <c r="AC84" s="11">
        <v>0.65743055555555563</v>
      </c>
      <c r="AD84" s="11">
        <v>0.65789351851851852</v>
      </c>
      <c r="AE84" s="4">
        <f t="shared" si="123"/>
        <v>39.999999999993463</v>
      </c>
      <c r="AF84" s="4">
        <f>(AD86-M86)*86400</f>
        <v>1.9999999999939178</v>
      </c>
      <c r="AG84" s="4">
        <v>5</v>
      </c>
      <c r="AH84" s="4">
        <f t="shared" si="124"/>
        <v>8.3333333333333339</v>
      </c>
    </row>
    <row r="85" spans="1:34" x14ac:dyDescent="0.25">
      <c r="A85" s="3"/>
      <c r="B85" s="9">
        <v>43432</v>
      </c>
      <c r="C85" s="3">
        <v>3</v>
      </c>
      <c r="D85" s="3"/>
      <c r="E85" s="8"/>
      <c r="F85" s="8"/>
      <c r="G85" s="6"/>
      <c r="H85" s="2">
        <v>2</v>
      </c>
      <c r="I85" s="2"/>
      <c r="J85" s="2"/>
      <c r="K85" s="2">
        <v>1</v>
      </c>
      <c r="L85" s="10">
        <v>0.65789351851851852</v>
      </c>
      <c r="M85" s="10">
        <v>0.65791666666666659</v>
      </c>
      <c r="N85" s="2">
        <f t="shared" si="99"/>
        <v>1.9999999999939178</v>
      </c>
      <c r="O85" s="2"/>
      <c r="P85" s="2"/>
      <c r="Q85" s="2"/>
      <c r="R85" s="7"/>
      <c r="S85" s="4"/>
      <c r="T85" s="4"/>
      <c r="U85" s="4"/>
      <c r="V85" s="4"/>
      <c r="W85" s="4"/>
      <c r="X85" s="4"/>
      <c r="Y85" s="4"/>
      <c r="Z85" s="4"/>
      <c r="AA85" s="4"/>
      <c r="AB85" s="4">
        <v>2</v>
      </c>
      <c r="AC85" s="11">
        <v>0.65789351851851852</v>
      </c>
      <c r="AD85" s="11">
        <v>0.65793981481481478</v>
      </c>
      <c r="AE85" s="4">
        <f t="shared" si="123"/>
        <v>3.9999999999974278</v>
      </c>
      <c r="AF85" s="4"/>
      <c r="AG85" s="4"/>
      <c r="AH85" s="4"/>
    </row>
    <row r="86" spans="1:34" x14ac:dyDescent="0.25">
      <c r="A86" s="3"/>
      <c r="B86" s="9">
        <v>43432</v>
      </c>
      <c r="C86" s="3">
        <v>3</v>
      </c>
      <c r="D86" s="3"/>
      <c r="E86" s="8"/>
      <c r="F86" s="8"/>
      <c r="G86" s="6"/>
      <c r="H86" s="2">
        <v>2</v>
      </c>
      <c r="I86" s="2"/>
      <c r="J86" s="2"/>
      <c r="K86" s="2">
        <v>0</v>
      </c>
      <c r="L86" s="10">
        <v>0.65795138888888893</v>
      </c>
      <c r="M86" s="10">
        <v>0.6583796296296297</v>
      </c>
      <c r="N86" s="2">
        <f t="shared" si="99"/>
        <v>37.000000000002586</v>
      </c>
      <c r="O86" s="2"/>
      <c r="P86" s="2"/>
      <c r="Q86" s="2"/>
      <c r="R86" s="7"/>
      <c r="S86" s="4"/>
      <c r="T86" s="4"/>
      <c r="U86" s="4"/>
      <c r="V86" s="4"/>
      <c r="W86" s="4"/>
      <c r="X86" s="4"/>
      <c r="Y86" s="4"/>
      <c r="Z86" s="4"/>
      <c r="AA86" s="4"/>
      <c r="AB86" s="4">
        <v>5</v>
      </c>
      <c r="AC86" s="11">
        <v>0.65795138888888893</v>
      </c>
      <c r="AD86" s="11">
        <v>0.65840277777777778</v>
      </c>
      <c r="AE86" s="4">
        <f t="shared" si="123"/>
        <v>38.999999999996504</v>
      </c>
      <c r="AF86" s="4"/>
      <c r="AG86" s="4"/>
      <c r="AH86" s="4"/>
    </row>
    <row r="87" spans="1:34" x14ac:dyDescent="0.25">
      <c r="A87" s="3" t="s">
        <v>123</v>
      </c>
      <c r="B87" s="9">
        <v>43432</v>
      </c>
      <c r="C87" s="3">
        <v>3</v>
      </c>
      <c r="D87" s="15" t="s">
        <v>124</v>
      </c>
      <c r="E87" s="8">
        <v>0.66608796296296291</v>
      </c>
      <c r="F87" s="8">
        <v>0.66701388888888891</v>
      </c>
      <c r="G87" s="6">
        <f t="shared" si="147"/>
        <v>80.000000000006111</v>
      </c>
      <c r="H87" s="2">
        <v>2</v>
      </c>
      <c r="I87" s="2">
        <v>1</v>
      </c>
      <c r="J87" s="2">
        <v>131</v>
      </c>
      <c r="K87" s="2">
        <v>0</v>
      </c>
      <c r="L87" s="10"/>
      <c r="M87" s="10"/>
      <c r="N87" s="2">
        <f t="shared" si="99"/>
        <v>0</v>
      </c>
      <c r="O87" s="2"/>
      <c r="P87" s="13">
        <f t="shared" ref="P87:P96" si="180">(L87-E87)*86400</f>
        <v>-57549.999999999993</v>
      </c>
      <c r="Q87" s="2">
        <v>0</v>
      </c>
      <c r="R87" s="7">
        <f t="shared" si="92"/>
        <v>0</v>
      </c>
      <c r="S87" s="4">
        <v>455</v>
      </c>
      <c r="T87" s="4">
        <v>470</v>
      </c>
      <c r="U87" s="4">
        <v>12.38</v>
      </c>
      <c r="V87" s="4">
        <v>12.34</v>
      </c>
      <c r="W87" s="4">
        <f t="shared" ref="W87" si="181">S87/U87</f>
        <v>36.752827140549272</v>
      </c>
      <c r="X87" s="4">
        <f t="shared" ref="X87" si="182">T87/V87</f>
        <v>38.087520259319284</v>
      </c>
      <c r="Y87" s="4">
        <f t="shared" ref="Y87:Y96" si="183">X87-W87</f>
        <v>1.3346931187700122</v>
      </c>
      <c r="Z87" s="4">
        <f t="shared" ref="Z87:Z96" si="184">T87-S87</f>
        <v>15</v>
      </c>
      <c r="AA87" s="4">
        <f t="shared" ref="AA87" si="185">V87-U87</f>
        <v>-4.0000000000000924E-2</v>
      </c>
      <c r="AB87" s="4">
        <v>6</v>
      </c>
      <c r="AC87" s="11">
        <v>0.66608796296296291</v>
      </c>
      <c r="AD87" s="11">
        <v>0.66701388888888891</v>
      </c>
      <c r="AE87" s="4">
        <f t="shared" si="123"/>
        <v>80.000000000006111</v>
      </c>
      <c r="AF87" s="4">
        <f t="shared" ref="AF87:AF95" si="186">(AD87-M87)*86400</f>
        <v>57630</v>
      </c>
      <c r="AG87" s="4">
        <v>1</v>
      </c>
      <c r="AH87" s="4">
        <f t="shared" si="124"/>
        <v>1.6666666666666667</v>
      </c>
    </row>
    <row r="88" spans="1:34" x14ac:dyDescent="0.25">
      <c r="A88" s="3" t="s">
        <v>126</v>
      </c>
      <c r="B88" s="9">
        <v>43432</v>
      </c>
      <c r="C88" s="3">
        <v>3</v>
      </c>
      <c r="D88" s="15" t="s">
        <v>125</v>
      </c>
      <c r="E88" s="8">
        <v>0.6743055555555556</v>
      </c>
      <c r="F88" s="8">
        <v>0.67501157407407408</v>
      </c>
      <c r="G88" s="6">
        <f t="shared" si="147"/>
        <v>60.999999999996746</v>
      </c>
      <c r="H88" s="2">
        <v>2</v>
      </c>
      <c r="I88" s="2">
        <v>1</v>
      </c>
      <c r="J88" s="2">
        <v>119</v>
      </c>
      <c r="K88" s="2">
        <v>0</v>
      </c>
      <c r="L88" s="10"/>
      <c r="M88" s="10"/>
      <c r="N88" s="2">
        <f t="shared" si="99"/>
        <v>0</v>
      </c>
      <c r="O88" s="2"/>
      <c r="P88" s="13">
        <f t="shared" si="180"/>
        <v>-58260.000000000007</v>
      </c>
      <c r="Q88" s="2">
        <v>0</v>
      </c>
      <c r="R88" s="7">
        <f t="shared" ref="R88:R151" si="187">Q88/0.6</f>
        <v>0</v>
      </c>
      <c r="S88" s="4">
        <v>224</v>
      </c>
      <c r="T88" s="4">
        <v>260</v>
      </c>
      <c r="U88" s="4">
        <v>10.69</v>
      </c>
      <c r="V88" s="4">
        <v>11.17</v>
      </c>
      <c r="W88" s="4">
        <f t="shared" ref="W88" si="188">S88/U88</f>
        <v>20.95416276894294</v>
      </c>
      <c r="X88" s="4">
        <f t="shared" ref="X88" si="189">T88/V88</f>
        <v>23.276633840644585</v>
      </c>
      <c r="Y88" s="4">
        <f t="shared" si="183"/>
        <v>2.3224710717016457</v>
      </c>
      <c r="Z88" s="4">
        <f t="shared" si="184"/>
        <v>36</v>
      </c>
      <c r="AA88" s="4">
        <f t="shared" ref="AA88" si="190">V88-U88</f>
        <v>0.48000000000000043</v>
      </c>
      <c r="AB88" s="4">
        <v>6</v>
      </c>
      <c r="AC88" s="11">
        <v>0.6743055555555556</v>
      </c>
      <c r="AD88" s="11">
        <v>0.67501157407407408</v>
      </c>
      <c r="AE88" s="4">
        <f t="shared" si="123"/>
        <v>60.999999999996746</v>
      </c>
      <c r="AF88" s="4">
        <f t="shared" si="186"/>
        <v>58321</v>
      </c>
      <c r="AG88" s="4">
        <v>1</v>
      </c>
      <c r="AH88" s="4">
        <f t="shared" si="124"/>
        <v>1.6666666666666667</v>
      </c>
    </row>
    <row r="89" spans="1:34" x14ac:dyDescent="0.25">
      <c r="A89" s="3" t="s">
        <v>128</v>
      </c>
      <c r="B89" s="9">
        <v>43432</v>
      </c>
      <c r="C89" s="3">
        <v>4</v>
      </c>
      <c r="D89" s="3" t="s">
        <v>127</v>
      </c>
      <c r="E89" s="8">
        <v>0.99667824074074074</v>
      </c>
      <c r="F89" s="8">
        <v>0.9990162037037037</v>
      </c>
      <c r="G89" s="6">
        <f t="shared" si="147"/>
        <v>201.9999999999996</v>
      </c>
      <c r="H89" s="2">
        <v>2</v>
      </c>
      <c r="I89" s="2">
        <v>1</v>
      </c>
      <c r="J89" s="2">
        <v>113</v>
      </c>
      <c r="K89" s="2">
        <v>0</v>
      </c>
      <c r="L89" s="10"/>
      <c r="M89" s="10"/>
      <c r="N89" s="2">
        <f t="shared" si="99"/>
        <v>0</v>
      </c>
      <c r="O89" s="2"/>
      <c r="P89" s="13">
        <f t="shared" si="180"/>
        <v>-86113</v>
      </c>
      <c r="Q89" s="2">
        <v>0</v>
      </c>
      <c r="R89" s="7">
        <f t="shared" si="187"/>
        <v>0</v>
      </c>
      <c r="S89" s="4">
        <v>30</v>
      </c>
      <c r="T89" s="4">
        <v>31</v>
      </c>
      <c r="U89" s="4">
        <v>1.5</v>
      </c>
      <c r="V89" s="4">
        <v>1.7</v>
      </c>
      <c r="W89" s="4">
        <f t="shared" ref="W89" si="191">S89/U89</f>
        <v>20</v>
      </c>
      <c r="X89" s="4">
        <f t="shared" ref="X89" si="192">T89/V89</f>
        <v>18.235294117647058</v>
      </c>
      <c r="Y89" s="4">
        <f t="shared" si="183"/>
        <v>-1.764705882352942</v>
      </c>
      <c r="Z89" s="4">
        <f t="shared" si="184"/>
        <v>1</v>
      </c>
      <c r="AA89" s="4">
        <f t="shared" ref="AA89" si="193">V89-U89</f>
        <v>0.19999999999999996</v>
      </c>
      <c r="AB89" s="4">
        <v>4</v>
      </c>
      <c r="AC89" s="11">
        <v>0.99667824074074074</v>
      </c>
      <c r="AD89" s="11">
        <v>0.9990162037037037</v>
      </c>
      <c r="AE89" s="4">
        <f t="shared" si="123"/>
        <v>201.9999999999996</v>
      </c>
      <c r="AF89" s="4">
        <f t="shared" si="186"/>
        <v>86315</v>
      </c>
      <c r="AG89" s="4">
        <v>0</v>
      </c>
      <c r="AH89" s="4">
        <f t="shared" si="124"/>
        <v>0</v>
      </c>
    </row>
    <row r="90" spans="1:34" x14ac:dyDescent="0.25">
      <c r="A90" s="3" t="s">
        <v>129</v>
      </c>
      <c r="B90" s="9">
        <v>43432</v>
      </c>
      <c r="C90" s="3">
        <v>4</v>
      </c>
      <c r="D90" s="3" t="s">
        <v>130</v>
      </c>
      <c r="E90" s="8">
        <v>1.2025462962962962E-2</v>
      </c>
      <c r="F90" s="8">
        <v>1.2731481481481481E-2</v>
      </c>
      <c r="G90" s="6">
        <f t="shared" si="147"/>
        <v>61.000000000000043</v>
      </c>
      <c r="H90" s="2">
        <v>2</v>
      </c>
      <c r="I90" s="2">
        <v>1</v>
      </c>
      <c r="J90" s="2">
        <v>109</v>
      </c>
      <c r="K90" s="2">
        <v>0</v>
      </c>
      <c r="L90" s="10"/>
      <c r="M90" s="10"/>
      <c r="N90" s="2">
        <f t="shared" si="99"/>
        <v>0</v>
      </c>
      <c r="O90" s="2"/>
      <c r="P90" s="13">
        <f t="shared" si="180"/>
        <v>-1039</v>
      </c>
      <c r="Q90" s="2">
        <v>0</v>
      </c>
      <c r="R90" s="7">
        <f t="shared" si="187"/>
        <v>0</v>
      </c>
      <c r="S90" s="4">
        <v>29</v>
      </c>
      <c r="T90" s="4">
        <v>47</v>
      </c>
      <c r="U90" s="4">
        <v>1.24</v>
      </c>
      <c r="V90" s="4">
        <v>1.67</v>
      </c>
      <c r="W90" s="4">
        <f t="shared" ref="W90:W96" si="194">S90/U90</f>
        <v>23.387096774193548</v>
      </c>
      <c r="X90" s="4">
        <f t="shared" ref="X90:X96" si="195">T90/V90</f>
        <v>28.143712574850301</v>
      </c>
      <c r="Y90" s="4">
        <f t="shared" si="183"/>
        <v>4.7566158006567534</v>
      </c>
      <c r="Z90" s="4">
        <f t="shared" si="184"/>
        <v>18</v>
      </c>
      <c r="AA90" s="4">
        <f t="shared" ref="AA90:AA96" si="196">V90-U90</f>
        <v>0.42999999999999994</v>
      </c>
      <c r="AB90" s="4">
        <v>2</v>
      </c>
      <c r="AC90" s="11">
        <v>1.2025462962962962E-2</v>
      </c>
      <c r="AD90" s="11">
        <v>1.2731481481481481E-2</v>
      </c>
      <c r="AE90" s="4">
        <f t="shared" si="123"/>
        <v>61.000000000000043</v>
      </c>
      <c r="AF90" s="4">
        <f t="shared" si="186"/>
        <v>1100</v>
      </c>
      <c r="AG90" s="4">
        <v>0</v>
      </c>
      <c r="AH90" s="4">
        <f t="shared" si="124"/>
        <v>0</v>
      </c>
    </row>
    <row r="91" spans="1:34" x14ac:dyDescent="0.25">
      <c r="A91" s="3" t="s">
        <v>132</v>
      </c>
      <c r="B91" s="9">
        <v>43432</v>
      </c>
      <c r="C91" s="3">
        <v>4</v>
      </c>
      <c r="D91" s="3" t="s">
        <v>131</v>
      </c>
      <c r="E91" s="8">
        <v>2.0011574074074074E-2</v>
      </c>
      <c r="F91" s="8">
        <v>2.2048611111111113E-2</v>
      </c>
      <c r="G91" s="6">
        <f t="shared" si="147"/>
        <v>176.00000000000014</v>
      </c>
      <c r="H91" s="2">
        <v>2</v>
      </c>
      <c r="I91" s="2">
        <v>1</v>
      </c>
      <c r="J91" s="2">
        <v>108</v>
      </c>
      <c r="K91" s="2">
        <v>0</v>
      </c>
      <c r="L91" s="10"/>
      <c r="M91" s="10"/>
      <c r="N91" s="2">
        <f t="shared" si="99"/>
        <v>0</v>
      </c>
      <c r="O91" s="2"/>
      <c r="P91" s="13">
        <f t="shared" si="180"/>
        <v>-1729</v>
      </c>
      <c r="Q91" s="2">
        <v>0</v>
      </c>
      <c r="R91" s="7">
        <f t="shared" si="187"/>
        <v>0</v>
      </c>
      <c r="S91" s="4">
        <v>21</v>
      </c>
      <c r="T91" s="4">
        <v>19</v>
      </c>
      <c r="U91" s="4">
        <v>1.51</v>
      </c>
      <c r="V91" s="4">
        <v>0.8</v>
      </c>
      <c r="W91" s="4">
        <f t="shared" si="194"/>
        <v>13.90728476821192</v>
      </c>
      <c r="X91" s="4">
        <f t="shared" si="195"/>
        <v>23.75</v>
      </c>
      <c r="Y91" s="4">
        <f t="shared" si="183"/>
        <v>9.8427152317880804</v>
      </c>
      <c r="Z91" s="4">
        <f t="shared" si="184"/>
        <v>-2</v>
      </c>
      <c r="AA91" s="4">
        <f t="shared" si="196"/>
        <v>-0.71</v>
      </c>
      <c r="AB91" s="4">
        <v>4</v>
      </c>
      <c r="AC91" s="11">
        <v>2.0011574074074074E-2</v>
      </c>
      <c r="AD91" s="11">
        <v>2.2048611111111113E-2</v>
      </c>
      <c r="AE91" s="4">
        <f t="shared" si="123"/>
        <v>176.00000000000014</v>
      </c>
      <c r="AF91" s="4">
        <f t="shared" si="186"/>
        <v>1905.0000000000002</v>
      </c>
      <c r="AG91" s="4">
        <v>0</v>
      </c>
      <c r="AH91" s="4">
        <f t="shared" si="124"/>
        <v>0</v>
      </c>
    </row>
    <row r="92" spans="1:34" x14ac:dyDescent="0.25">
      <c r="A92" s="3" t="s">
        <v>133</v>
      </c>
      <c r="B92" s="9">
        <v>43433</v>
      </c>
      <c r="C92" s="3">
        <v>1</v>
      </c>
      <c r="D92" s="3" t="s">
        <v>134</v>
      </c>
      <c r="E92" s="8">
        <v>0.28104166666666669</v>
      </c>
      <c r="F92" s="8">
        <v>0.28190972222222221</v>
      </c>
      <c r="G92" s="6">
        <f t="shared" si="147"/>
        <v>74.999999999997328</v>
      </c>
      <c r="H92" s="2">
        <v>2</v>
      </c>
      <c r="I92" s="2">
        <v>1</v>
      </c>
      <c r="J92" s="2">
        <v>126</v>
      </c>
      <c r="K92" s="2">
        <v>0</v>
      </c>
      <c r="L92" s="10"/>
      <c r="M92" s="10"/>
      <c r="N92" s="2">
        <f t="shared" si="99"/>
        <v>0</v>
      </c>
      <c r="O92" s="2"/>
      <c r="P92" s="13">
        <f t="shared" si="180"/>
        <v>-24282.000000000004</v>
      </c>
      <c r="Q92" s="2">
        <v>0</v>
      </c>
      <c r="R92" s="7">
        <f t="shared" si="187"/>
        <v>0</v>
      </c>
      <c r="S92" s="4">
        <v>100</v>
      </c>
      <c r="T92" s="4">
        <v>90</v>
      </c>
      <c r="U92" s="4">
        <v>9.8000000000000007</v>
      </c>
      <c r="V92" s="4">
        <v>8.44</v>
      </c>
      <c r="W92" s="4">
        <f t="shared" si="194"/>
        <v>10.204081632653061</v>
      </c>
      <c r="X92" s="4">
        <f t="shared" si="195"/>
        <v>10.66350710900474</v>
      </c>
      <c r="Y92" s="4">
        <f t="shared" si="183"/>
        <v>0.45942547635167941</v>
      </c>
      <c r="Z92" s="4">
        <f t="shared" si="184"/>
        <v>-10</v>
      </c>
      <c r="AA92" s="4">
        <f t="shared" si="196"/>
        <v>-1.3600000000000012</v>
      </c>
      <c r="AB92" s="4">
        <v>4</v>
      </c>
      <c r="AC92" s="11">
        <v>0.28104166666666669</v>
      </c>
      <c r="AD92" s="11">
        <v>0.28190972222222221</v>
      </c>
      <c r="AE92" s="4">
        <f t="shared" si="123"/>
        <v>74.999999999997328</v>
      </c>
      <c r="AF92" s="4">
        <f t="shared" si="186"/>
        <v>24357</v>
      </c>
      <c r="AG92" s="4">
        <v>0</v>
      </c>
      <c r="AH92" s="4">
        <f t="shared" si="124"/>
        <v>0</v>
      </c>
    </row>
    <row r="93" spans="1:34" x14ac:dyDescent="0.25">
      <c r="A93" s="3" t="s">
        <v>135</v>
      </c>
      <c r="B93" s="9">
        <v>43433</v>
      </c>
      <c r="C93" s="3">
        <v>1</v>
      </c>
      <c r="D93" s="3" t="s">
        <v>136</v>
      </c>
      <c r="E93" s="8">
        <v>0.30098379629629629</v>
      </c>
      <c r="F93" s="8">
        <v>0.30116898148148147</v>
      </c>
      <c r="G93" s="6">
        <f t="shared" si="147"/>
        <v>15.999999999999304</v>
      </c>
      <c r="H93" s="2">
        <v>1</v>
      </c>
      <c r="I93" s="2">
        <v>1</v>
      </c>
      <c r="J93" s="2">
        <v>107</v>
      </c>
      <c r="K93" s="2">
        <v>1</v>
      </c>
      <c r="L93" s="10">
        <v>0.30098379629629629</v>
      </c>
      <c r="M93" s="10">
        <v>0.30101851851851852</v>
      </c>
      <c r="N93" s="2">
        <f t="shared" si="99"/>
        <v>3.000000000000469</v>
      </c>
      <c r="O93" s="2"/>
      <c r="P93" s="13">
        <f t="shared" si="180"/>
        <v>0</v>
      </c>
      <c r="Q93" s="2">
        <v>1</v>
      </c>
      <c r="R93" s="7">
        <f t="shared" si="187"/>
        <v>1.6666666666666667</v>
      </c>
      <c r="S93" s="4">
        <v>430</v>
      </c>
      <c r="T93" s="4">
        <v>300</v>
      </c>
      <c r="U93" s="4">
        <v>13.56</v>
      </c>
      <c r="V93" s="4">
        <v>10.79</v>
      </c>
      <c r="W93" s="4">
        <f t="shared" si="194"/>
        <v>31.710914454277287</v>
      </c>
      <c r="X93" s="4">
        <f t="shared" si="195"/>
        <v>27.803521779425395</v>
      </c>
      <c r="Y93" s="4">
        <f>X93-W93</f>
        <v>-3.9073926748518915</v>
      </c>
      <c r="Z93" s="4">
        <f t="shared" si="184"/>
        <v>-130</v>
      </c>
      <c r="AA93" s="4">
        <f t="shared" si="196"/>
        <v>-2.7700000000000014</v>
      </c>
      <c r="AB93" s="4">
        <v>3</v>
      </c>
      <c r="AC93" s="11">
        <v>0.30098379629629629</v>
      </c>
      <c r="AD93" s="11">
        <v>0.30116898148148147</v>
      </c>
      <c r="AE93" s="4">
        <f t="shared" si="123"/>
        <v>15.999999999999304</v>
      </c>
      <c r="AF93" s="4">
        <f t="shared" si="186"/>
        <v>12.999999999998835</v>
      </c>
      <c r="AG93" s="4">
        <v>1</v>
      </c>
      <c r="AH93" s="4">
        <f t="shared" si="124"/>
        <v>1.6666666666666667</v>
      </c>
    </row>
    <row r="94" spans="1:34" x14ac:dyDescent="0.25">
      <c r="A94" s="3" t="s">
        <v>135</v>
      </c>
      <c r="B94" s="9">
        <v>43433</v>
      </c>
      <c r="C94" s="3">
        <v>1</v>
      </c>
      <c r="D94" s="3" t="s">
        <v>137</v>
      </c>
      <c r="E94" s="8">
        <v>0.30214120370370373</v>
      </c>
      <c r="F94" s="8">
        <v>0.30229166666666668</v>
      </c>
      <c r="G94" s="6">
        <f t="shared" si="147"/>
        <v>12.999999999998835</v>
      </c>
      <c r="H94" s="2">
        <v>2</v>
      </c>
      <c r="I94" s="2">
        <v>1</v>
      </c>
      <c r="J94" s="2">
        <v>107</v>
      </c>
      <c r="K94" s="2">
        <v>1</v>
      </c>
      <c r="L94" s="10">
        <v>0.30214120370370373</v>
      </c>
      <c r="M94" s="10">
        <v>0.30215277777777777</v>
      </c>
      <c r="N94" s="2">
        <f t="shared" si="99"/>
        <v>0.99999999999695888</v>
      </c>
      <c r="O94" s="2"/>
      <c r="P94" s="13">
        <f t="shared" si="180"/>
        <v>0</v>
      </c>
      <c r="Q94" s="2">
        <v>1</v>
      </c>
      <c r="R94" s="7">
        <f t="shared" si="187"/>
        <v>1.6666666666666667</v>
      </c>
      <c r="S94" s="4">
        <v>407</v>
      </c>
      <c r="T94" s="4">
        <v>360</v>
      </c>
      <c r="U94" s="4">
        <v>12.66</v>
      </c>
      <c r="V94" s="4">
        <v>11.32</v>
      </c>
      <c r="W94" s="4">
        <f t="shared" si="194"/>
        <v>32.148499210110586</v>
      </c>
      <c r="X94" s="4">
        <f t="shared" si="195"/>
        <v>31.802120141342755</v>
      </c>
      <c r="Y94" s="4">
        <f t="shared" si="183"/>
        <v>-0.3463790687678312</v>
      </c>
      <c r="Z94" s="4">
        <f t="shared" si="184"/>
        <v>-47</v>
      </c>
      <c r="AA94" s="4">
        <f t="shared" si="196"/>
        <v>-1.3399999999999999</v>
      </c>
      <c r="AB94" s="4">
        <v>3</v>
      </c>
      <c r="AC94" s="11">
        <v>0.30214120370370373</v>
      </c>
      <c r="AD94" s="11">
        <v>0.30229166666666668</v>
      </c>
      <c r="AE94" s="4">
        <f t="shared" si="123"/>
        <v>12.999999999998835</v>
      </c>
      <c r="AF94" s="4">
        <f t="shared" si="186"/>
        <v>12.000000000001876</v>
      </c>
      <c r="AG94" s="4">
        <v>1</v>
      </c>
      <c r="AH94" s="4">
        <f t="shared" si="124"/>
        <v>1.6666666666666667</v>
      </c>
    </row>
    <row r="95" spans="1:34" x14ac:dyDescent="0.25">
      <c r="A95" s="3" t="s">
        <v>138</v>
      </c>
      <c r="B95" s="9">
        <v>43433</v>
      </c>
      <c r="C95" s="3">
        <v>1</v>
      </c>
      <c r="D95" s="3" t="s">
        <v>139</v>
      </c>
      <c r="E95" s="8">
        <v>0.31407407407407406</v>
      </c>
      <c r="F95" s="8">
        <v>0.3144675925925926</v>
      </c>
      <c r="G95" s="6">
        <f t="shared" si="147"/>
        <v>34.000000000002117</v>
      </c>
      <c r="H95" s="2">
        <v>2</v>
      </c>
      <c r="I95" s="2">
        <v>1</v>
      </c>
      <c r="J95" s="2">
        <v>121</v>
      </c>
      <c r="K95" s="2">
        <v>0</v>
      </c>
      <c r="L95" s="10"/>
      <c r="M95" s="10"/>
      <c r="N95" s="2">
        <f t="shared" si="99"/>
        <v>0</v>
      </c>
      <c r="O95" s="2"/>
      <c r="P95" s="13">
        <f t="shared" si="180"/>
        <v>-27136</v>
      </c>
      <c r="Q95" s="2">
        <v>0</v>
      </c>
      <c r="R95" s="7">
        <f t="shared" si="187"/>
        <v>0</v>
      </c>
      <c r="S95" s="4">
        <v>368</v>
      </c>
      <c r="T95" s="4">
        <v>372</v>
      </c>
      <c r="U95" s="4">
        <v>9.85</v>
      </c>
      <c r="V95" s="4">
        <v>12.86</v>
      </c>
      <c r="W95" s="4">
        <f t="shared" si="194"/>
        <v>37.360406091370557</v>
      </c>
      <c r="X95" s="4">
        <f t="shared" si="195"/>
        <v>28.926905132192847</v>
      </c>
      <c r="Y95" s="4">
        <f t="shared" si="183"/>
        <v>-8.4335009591777101</v>
      </c>
      <c r="Z95" s="4">
        <f t="shared" si="184"/>
        <v>4</v>
      </c>
      <c r="AA95" s="4">
        <f t="shared" si="196"/>
        <v>3.01</v>
      </c>
      <c r="AB95" s="4">
        <v>4</v>
      </c>
      <c r="AC95" s="11">
        <v>0.31409722222222219</v>
      </c>
      <c r="AD95" s="11">
        <v>0.3144675925925926</v>
      </c>
      <c r="AE95" s="4">
        <f t="shared" si="123"/>
        <v>32.000000000003403</v>
      </c>
      <c r="AF95" s="4">
        <f t="shared" si="186"/>
        <v>27170</v>
      </c>
      <c r="AG95" s="4">
        <v>0</v>
      </c>
      <c r="AH95" s="4">
        <f t="shared" si="124"/>
        <v>0</v>
      </c>
    </row>
    <row r="96" spans="1:34" x14ac:dyDescent="0.25">
      <c r="A96" s="3" t="s">
        <v>140</v>
      </c>
      <c r="B96" s="9">
        <v>43433</v>
      </c>
      <c r="C96" s="3">
        <v>1</v>
      </c>
      <c r="D96" s="3" t="s">
        <v>141</v>
      </c>
      <c r="E96" s="8">
        <v>0.33233796296296297</v>
      </c>
      <c r="F96" s="8">
        <v>0.33423611111111112</v>
      </c>
      <c r="G96" s="6">
        <f t="shared" si="147"/>
        <v>164.00000000000006</v>
      </c>
      <c r="H96" s="2">
        <v>2</v>
      </c>
      <c r="I96" s="2">
        <v>1</v>
      </c>
      <c r="J96" s="2">
        <v>118</v>
      </c>
      <c r="K96" s="2">
        <v>1</v>
      </c>
      <c r="L96" s="10">
        <v>0.33233796296296297</v>
      </c>
      <c r="M96" s="10">
        <v>0.33236111111111111</v>
      </c>
      <c r="N96" s="2">
        <f t="shared" si="99"/>
        <v>1.9999999999987139</v>
      </c>
      <c r="O96" s="2"/>
      <c r="P96" s="13">
        <f t="shared" si="180"/>
        <v>0</v>
      </c>
      <c r="Q96" s="2">
        <v>1</v>
      </c>
      <c r="R96" s="7">
        <f t="shared" si="187"/>
        <v>1.6666666666666667</v>
      </c>
      <c r="S96" s="4">
        <v>424</v>
      </c>
      <c r="T96" s="4">
        <v>470</v>
      </c>
      <c r="U96" s="4">
        <v>12.09</v>
      </c>
      <c r="V96" s="4">
        <v>10.91</v>
      </c>
      <c r="W96" s="4">
        <f t="shared" si="194"/>
        <v>35.070306038047974</v>
      </c>
      <c r="X96" s="4">
        <f t="shared" si="195"/>
        <v>43.079743354720442</v>
      </c>
      <c r="Y96" s="4">
        <f t="shared" si="183"/>
        <v>8.0094373166724679</v>
      </c>
      <c r="Z96" s="4">
        <f t="shared" si="184"/>
        <v>46</v>
      </c>
      <c r="AA96" s="4">
        <f t="shared" si="196"/>
        <v>-1.1799999999999997</v>
      </c>
      <c r="AB96" s="4">
        <v>3</v>
      </c>
      <c r="AC96" s="11">
        <v>0.33233796296296297</v>
      </c>
      <c r="AD96" s="11">
        <v>0.33241898148148147</v>
      </c>
      <c r="AE96" s="4">
        <f t="shared" si="123"/>
        <v>6.9999999999978968</v>
      </c>
      <c r="AF96" s="4">
        <f>(AD97-M97)*86400</f>
        <v>4.000000000002224</v>
      </c>
      <c r="AG96" s="4">
        <v>9</v>
      </c>
      <c r="AH96" s="4">
        <f t="shared" si="124"/>
        <v>15</v>
      </c>
    </row>
    <row r="97" spans="1:34" x14ac:dyDescent="0.25">
      <c r="A97" s="3"/>
      <c r="B97" s="9">
        <v>43433</v>
      </c>
      <c r="C97" s="3">
        <v>1</v>
      </c>
      <c r="D97" s="3"/>
      <c r="E97" s="8"/>
      <c r="F97" s="8"/>
      <c r="G97" s="6"/>
      <c r="H97" s="2">
        <v>2</v>
      </c>
      <c r="I97" s="2"/>
      <c r="J97" s="2"/>
      <c r="K97" s="2">
        <v>0</v>
      </c>
      <c r="L97" s="10">
        <v>0.3323726851851852</v>
      </c>
      <c r="M97" s="10">
        <v>0.3341898148148148</v>
      </c>
      <c r="N97" s="2">
        <f t="shared" si="99"/>
        <v>156.99999999999736</v>
      </c>
      <c r="O97" s="2"/>
      <c r="P97" s="2"/>
      <c r="Q97" s="2"/>
      <c r="R97" s="7"/>
      <c r="S97" s="4"/>
      <c r="T97" s="4"/>
      <c r="U97" s="4"/>
      <c r="V97" s="4"/>
      <c r="W97" s="4"/>
      <c r="X97" s="4"/>
      <c r="Y97" s="4"/>
      <c r="Z97" s="4"/>
      <c r="AA97" s="4"/>
      <c r="AB97" s="4">
        <v>4</v>
      </c>
      <c r="AC97" s="11">
        <v>0.33241898148148147</v>
      </c>
      <c r="AD97" s="11">
        <v>0.33423611111111112</v>
      </c>
      <c r="AE97" s="4">
        <f t="shared" si="123"/>
        <v>157.00000000000216</v>
      </c>
      <c r="AF97" s="4"/>
      <c r="AG97" s="4"/>
      <c r="AH97" s="4"/>
    </row>
    <row r="98" spans="1:34" x14ac:dyDescent="0.25">
      <c r="A98" s="3" t="s">
        <v>143</v>
      </c>
      <c r="B98" s="9">
        <v>43433</v>
      </c>
      <c r="C98" s="3">
        <v>1</v>
      </c>
      <c r="D98" s="3" t="s">
        <v>142</v>
      </c>
      <c r="E98" s="8">
        <v>0.33484953703703701</v>
      </c>
      <c r="F98" s="8">
        <v>0.33642361111111113</v>
      </c>
      <c r="G98" s="6">
        <f t="shared" si="147"/>
        <v>136.00000000000367</v>
      </c>
      <c r="H98" s="2">
        <v>2</v>
      </c>
      <c r="I98" s="2">
        <v>1</v>
      </c>
      <c r="J98" s="2">
        <v>118</v>
      </c>
      <c r="K98" s="2">
        <v>0</v>
      </c>
      <c r="L98" s="10"/>
      <c r="M98" s="10"/>
      <c r="N98" s="2">
        <f t="shared" si="99"/>
        <v>0</v>
      </c>
      <c r="O98" s="2"/>
      <c r="P98" s="13">
        <f t="shared" ref="P98:P99" si="197">(L98-E98)*86400</f>
        <v>-28930.999999999996</v>
      </c>
      <c r="Q98" s="2"/>
      <c r="R98" s="7"/>
      <c r="S98" s="4">
        <v>411</v>
      </c>
      <c r="T98" s="4">
        <v>316</v>
      </c>
      <c r="U98" s="4">
        <v>13.23</v>
      </c>
      <c r="V98" s="4">
        <v>10.87</v>
      </c>
      <c r="W98" s="4">
        <f t="shared" ref="W98:W99" si="198">S98/U98</f>
        <v>31.065759637188208</v>
      </c>
      <c r="X98" s="4">
        <f t="shared" ref="X98:X99" si="199">T98/V98</f>
        <v>29.070837166513343</v>
      </c>
      <c r="Y98" s="4">
        <f t="shared" ref="Y98:Y99" si="200">X98-W98</f>
        <v>-1.9949224706748652</v>
      </c>
      <c r="Z98" s="4">
        <f t="shared" ref="Z98:Z99" si="201">T98-S98</f>
        <v>-95</v>
      </c>
      <c r="AA98" s="4">
        <f t="shared" ref="AA98:AA99" si="202">V98-U98</f>
        <v>-2.3600000000000012</v>
      </c>
      <c r="AB98" s="4">
        <v>4</v>
      </c>
      <c r="AC98" s="11">
        <v>0.33484953703703701</v>
      </c>
      <c r="AD98" s="11">
        <v>0.33642361111111113</v>
      </c>
      <c r="AE98" s="4">
        <f t="shared" si="123"/>
        <v>136.00000000000367</v>
      </c>
      <c r="AF98" s="4">
        <f>(AD98-M98)*86400</f>
        <v>29067</v>
      </c>
      <c r="AG98" s="4">
        <v>0</v>
      </c>
      <c r="AH98" s="4">
        <f t="shared" si="124"/>
        <v>0</v>
      </c>
    </row>
    <row r="99" spans="1:34" x14ac:dyDescent="0.25">
      <c r="A99" s="3" t="s">
        <v>144</v>
      </c>
      <c r="B99" s="9">
        <v>43433</v>
      </c>
      <c r="C99" s="3">
        <v>1</v>
      </c>
      <c r="D99" s="3" t="s">
        <v>145</v>
      </c>
      <c r="E99" s="8">
        <v>0.35336805555555556</v>
      </c>
      <c r="F99" s="8">
        <v>0.35456018518518517</v>
      </c>
      <c r="G99" s="6">
        <f t="shared" si="147"/>
        <v>102.99999999999852</v>
      </c>
      <c r="H99" s="2">
        <v>2</v>
      </c>
      <c r="I99" s="2">
        <v>1</v>
      </c>
      <c r="J99" s="2"/>
      <c r="K99" s="2">
        <v>1</v>
      </c>
      <c r="L99" s="10">
        <v>0.35340277777777779</v>
      </c>
      <c r="M99" s="10">
        <v>0.35342592592592598</v>
      </c>
      <c r="N99" s="2">
        <f t="shared" si="99"/>
        <v>2.0000000000035101</v>
      </c>
      <c r="O99" s="2"/>
      <c r="P99" s="13">
        <f t="shared" si="197"/>
        <v>3.000000000000469</v>
      </c>
      <c r="Q99" s="2">
        <v>1</v>
      </c>
      <c r="R99" s="7">
        <f t="shared" si="187"/>
        <v>1.6666666666666667</v>
      </c>
      <c r="S99" s="4">
        <v>338</v>
      </c>
      <c r="T99" s="4">
        <v>405</v>
      </c>
      <c r="U99" s="4">
        <v>12.3</v>
      </c>
      <c r="V99" s="4">
        <v>10.77</v>
      </c>
      <c r="W99" s="4">
        <f t="shared" si="198"/>
        <v>27.479674796747965</v>
      </c>
      <c r="X99" s="4">
        <f t="shared" si="199"/>
        <v>37.604456824512539</v>
      </c>
      <c r="Y99" s="4">
        <f t="shared" si="200"/>
        <v>10.124782027764574</v>
      </c>
      <c r="Z99" s="4">
        <f t="shared" si="201"/>
        <v>67</v>
      </c>
      <c r="AA99" s="4">
        <f t="shared" si="202"/>
        <v>-1.5300000000000011</v>
      </c>
      <c r="AB99" s="4">
        <v>1</v>
      </c>
      <c r="AC99" s="11">
        <v>0.35340277777777779</v>
      </c>
      <c r="AD99" s="11">
        <v>0.35344907407407405</v>
      </c>
      <c r="AE99" s="4">
        <f t="shared" si="123"/>
        <v>3.9999999999974278</v>
      </c>
      <c r="AF99" s="4">
        <f>(AD99-M99)*86400</f>
        <v>1.9999999999939178</v>
      </c>
      <c r="AG99" s="4">
        <v>5</v>
      </c>
      <c r="AH99" s="4">
        <f t="shared" si="124"/>
        <v>8.3333333333333339</v>
      </c>
    </row>
    <row r="100" spans="1:34" x14ac:dyDescent="0.25">
      <c r="A100" s="3"/>
      <c r="B100" s="9">
        <v>43433</v>
      </c>
      <c r="C100" s="3">
        <v>1</v>
      </c>
      <c r="D100" s="3"/>
      <c r="E100" s="8"/>
      <c r="F100" s="8"/>
      <c r="G100" s="6">
        <f t="shared" si="147"/>
        <v>0</v>
      </c>
      <c r="H100" s="2">
        <v>2</v>
      </c>
      <c r="I100" s="2"/>
      <c r="J100" s="2"/>
      <c r="K100" s="2">
        <v>0</v>
      </c>
      <c r="L100" s="10"/>
      <c r="M100" s="10"/>
      <c r="N100" s="2">
        <f t="shared" si="99"/>
        <v>0</v>
      </c>
      <c r="O100" s="2"/>
      <c r="P100" s="2"/>
      <c r="Q100" s="2"/>
      <c r="R100" s="7"/>
      <c r="S100" s="4"/>
      <c r="T100" s="4"/>
      <c r="U100" s="4"/>
      <c r="V100" s="4"/>
      <c r="W100" s="4"/>
      <c r="X100" s="4"/>
      <c r="Y100" s="4"/>
      <c r="Z100" s="4"/>
      <c r="AA100" s="4"/>
      <c r="AB100" s="4">
        <v>4</v>
      </c>
      <c r="AC100" s="11">
        <v>0.35344907407407405</v>
      </c>
      <c r="AD100" s="11">
        <v>0.35456018518518517</v>
      </c>
      <c r="AE100" s="4">
        <f t="shared" si="123"/>
        <v>96.000000000000625</v>
      </c>
      <c r="AF100" s="4"/>
      <c r="AG100" s="4"/>
      <c r="AH100" s="4"/>
    </row>
    <row r="101" spans="1:34" x14ac:dyDescent="0.25">
      <c r="A101" s="3" t="s">
        <v>146</v>
      </c>
      <c r="B101" s="9">
        <v>43433</v>
      </c>
      <c r="C101" s="3">
        <v>2</v>
      </c>
      <c r="D101" s="3" t="s">
        <v>147</v>
      </c>
      <c r="E101" s="8">
        <v>0.51070601851851849</v>
      </c>
      <c r="F101" s="8">
        <v>0.51192129629629635</v>
      </c>
      <c r="G101" s="6">
        <f t="shared" si="147"/>
        <v>105.00000000000682</v>
      </c>
      <c r="H101" s="2">
        <v>2</v>
      </c>
      <c r="I101" s="2">
        <v>1</v>
      </c>
      <c r="J101" s="2">
        <v>124</v>
      </c>
      <c r="K101" s="2">
        <v>0</v>
      </c>
      <c r="L101" s="10"/>
      <c r="M101" s="10"/>
      <c r="N101" s="2">
        <f t="shared" si="99"/>
        <v>0</v>
      </c>
      <c r="O101" s="2"/>
      <c r="P101" s="13">
        <f t="shared" ref="P101:P108" si="203">(L101-E101)*86400</f>
        <v>-44125</v>
      </c>
      <c r="Q101" s="2">
        <v>0</v>
      </c>
      <c r="R101" s="7">
        <f t="shared" si="187"/>
        <v>0</v>
      </c>
      <c r="S101" s="4">
        <v>30</v>
      </c>
      <c r="T101" s="4">
        <v>45</v>
      </c>
      <c r="U101" s="4">
        <v>1.33</v>
      </c>
      <c r="V101" s="4">
        <v>1.0900000000000001</v>
      </c>
      <c r="W101" s="4">
        <f t="shared" ref="W101" si="204">S101/U101</f>
        <v>22.556390977443609</v>
      </c>
      <c r="X101" s="4">
        <f t="shared" ref="X101" si="205">T101/V101</f>
        <v>41.284403669724767</v>
      </c>
      <c r="Y101" s="4">
        <f t="shared" ref="Y101:Y109" si="206">X101-W101</f>
        <v>18.728012692281158</v>
      </c>
      <c r="Z101" s="4">
        <f t="shared" ref="Z101:Z108" si="207">T101-S101</f>
        <v>15</v>
      </c>
      <c r="AA101" s="4">
        <f t="shared" ref="AA101" si="208">V101-U101</f>
        <v>-0.24</v>
      </c>
      <c r="AB101" s="4">
        <v>4</v>
      </c>
      <c r="AC101" s="11">
        <v>0.51070601851851849</v>
      </c>
      <c r="AD101" s="11">
        <v>0.51192129629629635</v>
      </c>
      <c r="AE101" s="4">
        <f t="shared" si="123"/>
        <v>105.00000000000682</v>
      </c>
      <c r="AF101" s="4">
        <f t="shared" ref="AF101:AF107" si="209">(AD101-M101)*86400</f>
        <v>44230.000000000007</v>
      </c>
      <c r="AG101" s="4">
        <v>2</v>
      </c>
      <c r="AH101" s="4">
        <f t="shared" si="124"/>
        <v>3.3333333333333335</v>
      </c>
    </row>
    <row r="102" spans="1:34" x14ac:dyDescent="0.25">
      <c r="A102" s="3" t="s">
        <v>146</v>
      </c>
      <c r="B102" s="9">
        <v>43433</v>
      </c>
      <c r="C102" s="3">
        <v>2</v>
      </c>
      <c r="D102" s="3" t="s">
        <v>148</v>
      </c>
      <c r="E102" s="8">
        <v>0.51302083333333337</v>
      </c>
      <c r="F102" s="8">
        <v>0.51458333333333328</v>
      </c>
      <c r="G102" s="6">
        <f t="shared" si="147"/>
        <v>134.99999999999233</v>
      </c>
      <c r="H102" s="2">
        <v>2</v>
      </c>
      <c r="I102" s="2">
        <v>1</v>
      </c>
      <c r="J102" s="2">
        <v>124</v>
      </c>
      <c r="K102" s="2">
        <v>0</v>
      </c>
      <c r="L102" s="10"/>
      <c r="M102" s="10"/>
      <c r="N102" s="2">
        <f t="shared" si="99"/>
        <v>0</v>
      </c>
      <c r="O102" s="2"/>
      <c r="P102" s="13">
        <f t="shared" si="203"/>
        <v>-44325</v>
      </c>
      <c r="Q102" s="2">
        <v>0</v>
      </c>
      <c r="R102" s="7">
        <f t="shared" si="187"/>
        <v>0</v>
      </c>
      <c r="S102" s="4">
        <v>97</v>
      </c>
      <c r="T102" s="4">
        <v>144</v>
      </c>
      <c r="U102" s="4">
        <v>2.89</v>
      </c>
      <c r="V102" s="4">
        <v>3.9</v>
      </c>
      <c r="W102" s="4">
        <f t="shared" ref="W102:W109" si="210">S102/U102</f>
        <v>33.564013840830448</v>
      </c>
      <c r="X102" s="4">
        <f t="shared" ref="X102:X109" si="211">T102/V102</f>
        <v>36.923076923076927</v>
      </c>
      <c r="Y102" s="4">
        <f t="shared" si="206"/>
        <v>3.3590630822464789</v>
      </c>
      <c r="Z102" s="4">
        <f t="shared" si="207"/>
        <v>47</v>
      </c>
      <c r="AA102" s="4">
        <f t="shared" ref="AA102:AA109" si="212">V102-U102</f>
        <v>1.0099999999999998</v>
      </c>
      <c r="AB102" s="4">
        <v>6</v>
      </c>
      <c r="AC102" s="11">
        <v>0.51305555555555549</v>
      </c>
      <c r="AD102" s="11">
        <v>0.51458333333333328</v>
      </c>
      <c r="AE102" s="4">
        <f t="shared" si="123"/>
        <v>132.00000000000145</v>
      </c>
      <c r="AF102" s="4">
        <f t="shared" si="209"/>
        <v>44459.999999999993</v>
      </c>
      <c r="AG102" s="4">
        <v>1</v>
      </c>
      <c r="AH102" s="4">
        <f t="shared" si="124"/>
        <v>1.6666666666666667</v>
      </c>
    </row>
    <row r="103" spans="1:34" x14ac:dyDescent="0.25">
      <c r="A103" s="3" t="s">
        <v>149</v>
      </c>
      <c r="B103" s="9">
        <v>43433</v>
      </c>
      <c r="C103" s="3">
        <v>2</v>
      </c>
      <c r="D103" s="3" t="s">
        <v>150</v>
      </c>
      <c r="E103" s="8">
        <v>0.52538194444444442</v>
      </c>
      <c r="F103" s="8">
        <v>0.52799768518518519</v>
      </c>
      <c r="G103" s="6">
        <f t="shared" ref="G103:G127" si="213">(F103-E103)*86400</f>
        <v>226.00000000000335</v>
      </c>
      <c r="H103" s="2">
        <v>2</v>
      </c>
      <c r="I103" s="2">
        <v>1</v>
      </c>
      <c r="J103" s="2">
        <v>124</v>
      </c>
      <c r="K103" s="2">
        <v>0</v>
      </c>
      <c r="L103" s="10"/>
      <c r="M103" s="10"/>
      <c r="N103" s="2">
        <f t="shared" ref="N103:N127" si="214">(M103-L103)*86400</f>
        <v>0</v>
      </c>
      <c r="O103" s="2"/>
      <c r="P103" s="13">
        <f t="shared" si="203"/>
        <v>-45393</v>
      </c>
      <c r="Q103" s="2">
        <v>0</v>
      </c>
      <c r="R103" s="7">
        <f t="shared" si="187"/>
        <v>0</v>
      </c>
      <c r="S103" s="4">
        <v>49</v>
      </c>
      <c r="T103" s="4">
        <v>44</v>
      </c>
      <c r="U103" s="4">
        <v>0.85</v>
      </c>
      <c r="V103" s="4">
        <v>0.87</v>
      </c>
      <c r="W103" s="4">
        <f t="shared" si="210"/>
        <v>57.647058823529413</v>
      </c>
      <c r="X103" s="4">
        <f t="shared" si="211"/>
        <v>50.574712643678161</v>
      </c>
      <c r="Y103" s="4">
        <f t="shared" si="206"/>
        <v>-7.0723461798512517</v>
      </c>
      <c r="Z103" s="4">
        <f t="shared" si="207"/>
        <v>-5</v>
      </c>
      <c r="AA103" s="4">
        <f t="shared" si="212"/>
        <v>2.0000000000000018E-2</v>
      </c>
      <c r="AB103" s="4">
        <v>6</v>
      </c>
      <c r="AC103" s="11">
        <v>0.52538194444444442</v>
      </c>
      <c r="AD103" s="11">
        <v>0.52799768518518519</v>
      </c>
      <c r="AE103" s="4">
        <f t="shared" si="123"/>
        <v>226.00000000000335</v>
      </c>
      <c r="AF103" s="4">
        <f t="shared" si="209"/>
        <v>45619</v>
      </c>
      <c r="AG103" s="4">
        <v>2</v>
      </c>
      <c r="AH103" s="4">
        <f t="shared" si="124"/>
        <v>3.3333333333333335</v>
      </c>
    </row>
    <row r="104" spans="1:34" x14ac:dyDescent="0.25">
      <c r="A104" s="3" t="s">
        <v>151</v>
      </c>
      <c r="B104" s="9">
        <v>43433</v>
      </c>
      <c r="C104" s="3">
        <v>2</v>
      </c>
      <c r="D104" s="3" t="s">
        <v>152</v>
      </c>
      <c r="E104" s="8">
        <v>0.55008101851851854</v>
      </c>
      <c r="F104" s="8">
        <v>0.55019675925925926</v>
      </c>
      <c r="G104" s="6">
        <f t="shared" si="213"/>
        <v>9.9999999999983658</v>
      </c>
      <c r="H104" s="2">
        <v>1</v>
      </c>
      <c r="I104" s="2">
        <v>1</v>
      </c>
      <c r="J104" s="2">
        <v>109</v>
      </c>
      <c r="K104" s="2">
        <v>1</v>
      </c>
      <c r="L104" s="10">
        <v>0.55008101851851854</v>
      </c>
      <c r="M104" s="10">
        <v>0.55011574074074077</v>
      </c>
      <c r="N104" s="2">
        <f t="shared" si="214"/>
        <v>3.000000000000469</v>
      </c>
      <c r="O104" s="2"/>
      <c r="P104" s="13">
        <f t="shared" si="203"/>
        <v>0</v>
      </c>
      <c r="Q104" s="2">
        <v>1</v>
      </c>
      <c r="R104" s="7">
        <f t="shared" si="187"/>
        <v>1.6666666666666667</v>
      </c>
      <c r="S104" s="4">
        <v>145</v>
      </c>
      <c r="T104" s="4">
        <v>71</v>
      </c>
      <c r="U104" s="4">
        <v>4.7300000000000004</v>
      </c>
      <c r="V104" s="4">
        <v>2.25</v>
      </c>
      <c r="W104" s="4">
        <f t="shared" si="210"/>
        <v>30.655391120507396</v>
      </c>
      <c r="X104" s="4">
        <f t="shared" si="211"/>
        <v>31.555555555555557</v>
      </c>
      <c r="Y104" s="4">
        <f>X104-W104</f>
        <v>0.90016443504816124</v>
      </c>
      <c r="Z104" s="4">
        <f t="shared" si="207"/>
        <v>-74</v>
      </c>
      <c r="AA104" s="4">
        <f t="shared" si="212"/>
        <v>-2.4800000000000004</v>
      </c>
      <c r="AB104" s="4">
        <v>2</v>
      </c>
      <c r="AC104" s="11">
        <v>0.55008101851851854</v>
      </c>
      <c r="AD104" s="11">
        <v>0.55019675925925926</v>
      </c>
      <c r="AE104" s="4">
        <f t="shared" si="123"/>
        <v>9.9999999999983658</v>
      </c>
      <c r="AF104" s="4">
        <f t="shared" si="209"/>
        <v>6.9999999999978968</v>
      </c>
      <c r="AG104" s="4">
        <v>1</v>
      </c>
      <c r="AH104" s="4">
        <f t="shared" si="124"/>
        <v>1.6666666666666667</v>
      </c>
    </row>
    <row r="105" spans="1:34" x14ac:dyDescent="0.25">
      <c r="A105" s="3" t="s">
        <v>154</v>
      </c>
      <c r="B105" s="9">
        <v>43433</v>
      </c>
      <c r="C105" s="3">
        <v>3</v>
      </c>
      <c r="D105" s="3" t="s">
        <v>153</v>
      </c>
      <c r="E105" s="8">
        <v>0.64644675925925921</v>
      </c>
      <c r="F105" s="8">
        <v>0.64795138888888892</v>
      </c>
      <c r="G105" s="6">
        <f t="shared" si="213"/>
        <v>130.00000000000753</v>
      </c>
      <c r="H105" s="2">
        <v>2</v>
      </c>
      <c r="I105" s="2">
        <v>1</v>
      </c>
      <c r="J105" s="2">
        <v>112</v>
      </c>
      <c r="K105" s="2">
        <v>0</v>
      </c>
      <c r="L105" s="10">
        <v>0.64644675925925921</v>
      </c>
      <c r="M105" s="10">
        <v>0.64795138888888892</v>
      </c>
      <c r="N105" s="2">
        <f t="shared" si="214"/>
        <v>130.00000000000753</v>
      </c>
      <c r="O105" s="2"/>
      <c r="P105" s="13">
        <f t="shared" si="203"/>
        <v>0</v>
      </c>
      <c r="Q105" s="2">
        <v>0</v>
      </c>
      <c r="R105" s="7">
        <f t="shared" si="187"/>
        <v>0</v>
      </c>
      <c r="S105" s="4">
        <v>466</v>
      </c>
      <c r="T105" s="4">
        <v>246</v>
      </c>
      <c r="U105" s="4">
        <v>13.58</v>
      </c>
      <c r="V105" s="4">
        <v>10.91</v>
      </c>
      <c r="W105" s="4">
        <f t="shared" si="210"/>
        <v>34.315169366715757</v>
      </c>
      <c r="X105" s="4">
        <f t="shared" si="211"/>
        <v>22.548120989917507</v>
      </c>
      <c r="Y105" s="4">
        <f t="shared" si="206"/>
        <v>-11.76704837679825</v>
      </c>
      <c r="Z105" s="4">
        <f t="shared" si="207"/>
        <v>-220</v>
      </c>
      <c r="AA105" s="4">
        <f t="shared" si="212"/>
        <v>-2.67</v>
      </c>
      <c r="AB105" s="4">
        <v>4</v>
      </c>
      <c r="AC105" s="11">
        <v>0.64645833333333336</v>
      </c>
      <c r="AD105" s="11">
        <v>0.64795138888888892</v>
      </c>
      <c r="AE105" s="4">
        <f t="shared" si="123"/>
        <v>129.00000000000097</v>
      </c>
      <c r="AF105" s="4">
        <f t="shared" si="209"/>
        <v>0</v>
      </c>
      <c r="AG105" s="4">
        <v>4</v>
      </c>
      <c r="AH105" s="4">
        <f t="shared" si="124"/>
        <v>6.666666666666667</v>
      </c>
    </row>
    <row r="106" spans="1:34" x14ac:dyDescent="0.25">
      <c r="A106" s="3" t="s">
        <v>155</v>
      </c>
      <c r="B106" s="9">
        <v>43457</v>
      </c>
      <c r="C106" s="3">
        <v>1</v>
      </c>
      <c r="D106" s="3" t="s">
        <v>156</v>
      </c>
      <c r="E106" s="8">
        <v>0.32674768518518521</v>
      </c>
      <c r="F106" s="8">
        <v>0.32896990740740745</v>
      </c>
      <c r="G106" s="6">
        <f t="shared" si="213"/>
        <v>192.00000000000125</v>
      </c>
      <c r="H106" s="2">
        <v>2</v>
      </c>
      <c r="I106" s="2">
        <v>1</v>
      </c>
      <c r="J106" s="2">
        <v>118</v>
      </c>
      <c r="K106" s="2">
        <v>0</v>
      </c>
      <c r="L106" s="10"/>
      <c r="M106" s="10"/>
      <c r="N106" s="2">
        <f t="shared" si="214"/>
        <v>0</v>
      </c>
      <c r="O106" s="2"/>
      <c r="P106" s="13">
        <f t="shared" si="203"/>
        <v>-28231.000000000004</v>
      </c>
      <c r="Q106" s="2">
        <v>0</v>
      </c>
      <c r="R106" s="7">
        <f t="shared" si="187"/>
        <v>0</v>
      </c>
      <c r="S106" s="4">
        <v>433</v>
      </c>
      <c r="T106" s="4">
        <v>406</v>
      </c>
      <c r="U106" s="4">
        <v>13.29</v>
      </c>
      <c r="V106" s="4">
        <v>13.4</v>
      </c>
      <c r="W106" s="4">
        <f t="shared" si="210"/>
        <v>32.580887885628293</v>
      </c>
      <c r="X106" s="4">
        <f t="shared" si="211"/>
        <v>30.298507462686565</v>
      </c>
      <c r="Y106" s="4">
        <f t="shared" si="206"/>
        <v>-2.2823804229417277</v>
      </c>
      <c r="Z106" s="4">
        <f t="shared" si="207"/>
        <v>-27</v>
      </c>
      <c r="AA106" s="4">
        <f t="shared" si="212"/>
        <v>0.11000000000000121</v>
      </c>
      <c r="AB106" s="4">
        <v>0</v>
      </c>
      <c r="AC106" s="11">
        <v>0.32674768518518521</v>
      </c>
      <c r="AD106" s="11">
        <v>0.32896990740740745</v>
      </c>
      <c r="AE106" s="4">
        <f t="shared" si="123"/>
        <v>192.00000000000125</v>
      </c>
      <c r="AF106" s="4">
        <f t="shared" si="209"/>
        <v>28423.000000000004</v>
      </c>
      <c r="AG106" s="4">
        <v>0</v>
      </c>
      <c r="AH106" s="4">
        <f t="shared" si="124"/>
        <v>0</v>
      </c>
    </row>
    <row r="107" spans="1:34" x14ac:dyDescent="0.25">
      <c r="A107" s="3" t="s">
        <v>155</v>
      </c>
      <c r="B107" s="9">
        <v>43457</v>
      </c>
      <c r="C107" s="3">
        <v>1</v>
      </c>
      <c r="D107" s="3" t="s">
        <v>157</v>
      </c>
      <c r="E107" s="8">
        <v>0.33128472222222222</v>
      </c>
      <c r="F107" s="8">
        <v>0.33157407407407408</v>
      </c>
      <c r="G107" s="6">
        <f t="shared" si="213"/>
        <v>25.000000000000711</v>
      </c>
      <c r="H107" s="2">
        <v>2</v>
      </c>
      <c r="I107" s="2">
        <v>1</v>
      </c>
      <c r="J107" s="2">
        <v>118</v>
      </c>
      <c r="K107" s="2">
        <v>0</v>
      </c>
      <c r="L107" s="10"/>
      <c r="M107" s="10"/>
      <c r="N107" s="2">
        <f t="shared" si="214"/>
        <v>0</v>
      </c>
      <c r="O107" s="2"/>
      <c r="P107" s="13">
        <f t="shared" si="203"/>
        <v>-28623</v>
      </c>
      <c r="Q107" s="2">
        <v>0</v>
      </c>
      <c r="R107" s="7">
        <f t="shared" si="187"/>
        <v>0</v>
      </c>
      <c r="S107" s="4">
        <v>430</v>
      </c>
      <c r="T107" s="4">
        <v>454</v>
      </c>
      <c r="U107" s="4">
        <v>13.05</v>
      </c>
      <c r="V107" s="4">
        <v>12.57</v>
      </c>
      <c r="W107" s="4">
        <f t="shared" si="210"/>
        <v>32.950191570881223</v>
      </c>
      <c r="X107" s="4">
        <f t="shared" si="211"/>
        <v>36.117740652346853</v>
      </c>
      <c r="Y107" s="4">
        <f t="shared" si="206"/>
        <v>3.16754908146563</v>
      </c>
      <c r="Z107" s="4">
        <f t="shared" si="207"/>
        <v>24</v>
      </c>
      <c r="AA107" s="4">
        <f t="shared" si="212"/>
        <v>-0.48000000000000043</v>
      </c>
      <c r="AB107" s="4">
        <v>4</v>
      </c>
      <c r="AC107" s="11">
        <v>0.33131944444444444</v>
      </c>
      <c r="AD107" s="11">
        <v>0.33157407407407408</v>
      </c>
      <c r="AE107" s="4">
        <f t="shared" si="123"/>
        <v>22.000000000000242</v>
      </c>
      <c r="AF107" s="4">
        <f t="shared" si="209"/>
        <v>28648</v>
      </c>
      <c r="AG107" s="4">
        <v>0</v>
      </c>
      <c r="AH107" s="4">
        <f t="shared" si="124"/>
        <v>0</v>
      </c>
    </row>
    <row r="108" spans="1:34" x14ac:dyDescent="0.25">
      <c r="A108" s="3" t="s">
        <v>159</v>
      </c>
      <c r="B108" s="9">
        <v>43457</v>
      </c>
      <c r="C108" s="3">
        <v>1</v>
      </c>
      <c r="D108" s="3" t="s">
        <v>158</v>
      </c>
      <c r="E108" s="8">
        <v>0.34491898148148148</v>
      </c>
      <c r="F108" s="8">
        <v>0.34546296296296292</v>
      </c>
      <c r="G108" s="6">
        <f t="shared" si="213"/>
        <v>46.999999999996156</v>
      </c>
      <c r="H108" s="2">
        <v>1</v>
      </c>
      <c r="I108" s="2">
        <v>1</v>
      </c>
      <c r="J108" s="2">
        <v>96</v>
      </c>
      <c r="K108" s="2">
        <v>1</v>
      </c>
      <c r="L108" s="10">
        <v>0.34491898148148148</v>
      </c>
      <c r="M108" s="10">
        <v>0.34494212962962961</v>
      </c>
      <c r="N108" s="2">
        <f t="shared" si="214"/>
        <v>1.9999999999987139</v>
      </c>
      <c r="O108" s="2"/>
      <c r="P108" s="13">
        <f t="shared" si="203"/>
        <v>0</v>
      </c>
      <c r="Q108" s="2">
        <v>2</v>
      </c>
      <c r="R108" s="7">
        <f t="shared" si="187"/>
        <v>3.3333333333333335</v>
      </c>
      <c r="S108" s="4">
        <v>458</v>
      </c>
      <c r="T108" s="4">
        <v>416</v>
      </c>
      <c r="U108" s="4">
        <v>11.58</v>
      </c>
      <c r="V108" s="4">
        <v>10.95</v>
      </c>
      <c r="W108" s="4">
        <f t="shared" si="210"/>
        <v>39.550949913644217</v>
      </c>
      <c r="X108" s="4">
        <f t="shared" si="211"/>
        <v>37.990867579908681</v>
      </c>
      <c r="Y108" s="4">
        <f t="shared" si="206"/>
        <v>-1.5600823337355365</v>
      </c>
      <c r="Z108" s="4">
        <f t="shared" si="207"/>
        <v>-42</v>
      </c>
      <c r="AA108" s="4">
        <f t="shared" si="212"/>
        <v>-0.63000000000000078</v>
      </c>
      <c r="AB108" s="4">
        <v>3</v>
      </c>
      <c r="AC108" s="11">
        <v>0.34491898148148148</v>
      </c>
      <c r="AD108" s="11">
        <v>0.34517361111111117</v>
      </c>
      <c r="AE108" s="4">
        <f t="shared" si="123"/>
        <v>22.000000000005038</v>
      </c>
      <c r="AF108" s="4">
        <f>(AD109-M109)*86400</f>
        <v>18.999999999999773</v>
      </c>
      <c r="AG108" s="4">
        <v>3</v>
      </c>
      <c r="AH108" s="4">
        <f t="shared" si="124"/>
        <v>5</v>
      </c>
    </row>
    <row r="109" spans="1:34" x14ac:dyDescent="0.25">
      <c r="A109" s="3"/>
      <c r="B109" s="9">
        <v>43457</v>
      </c>
      <c r="C109" s="3">
        <v>1</v>
      </c>
      <c r="D109" s="3"/>
      <c r="E109" s="8"/>
      <c r="F109" s="8"/>
      <c r="G109" s="6">
        <f t="shared" si="213"/>
        <v>0</v>
      </c>
      <c r="H109" s="2">
        <v>1</v>
      </c>
      <c r="I109" s="2"/>
      <c r="J109" s="2"/>
      <c r="K109" s="2">
        <v>1</v>
      </c>
      <c r="L109" s="10">
        <v>0.34520833333333334</v>
      </c>
      <c r="M109" s="10">
        <v>0.34524305555555551</v>
      </c>
      <c r="N109" s="2">
        <f t="shared" si="214"/>
        <v>2.9999999999956728</v>
      </c>
      <c r="O109" s="2"/>
      <c r="P109" s="2"/>
      <c r="Q109" s="2"/>
      <c r="R109" s="7"/>
      <c r="S109" s="4">
        <v>430</v>
      </c>
      <c r="T109" s="4">
        <v>251</v>
      </c>
      <c r="U109" s="4">
        <v>10.58</v>
      </c>
      <c r="V109" s="4">
        <v>5.01</v>
      </c>
      <c r="W109" s="4">
        <f t="shared" si="210"/>
        <v>40.642722117202268</v>
      </c>
      <c r="X109" s="4">
        <f t="shared" si="211"/>
        <v>50.099800399201598</v>
      </c>
      <c r="Y109" s="4">
        <f t="shared" si="206"/>
        <v>9.4570782819993298</v>
      </c>
      <c r="Z109" s="4"/>
      <c r="AA109" s="4">
        <f t="shared" si="212"/>
        <v>-5.57</v>
      </c>
      <c r="AB109" s="4">
        <v>2</v>
      </c>
      <c r="AC109" s="11">
        <v>0.34520833333333334</v>
      </c>
      <c r="AD109" s="11">
        <v>0.34546296296296292</v>
      </c>
      <c r="AE109" s="4">
        <f t="shared" si="123"/>
        <v>21.999999999995445</v>
      </c>
      <c r="AF109" s="4"/>
      <c r="AG109" s="4"/>
      <c r="AH109" s="4"/>
    </row>
    <row r="110" spans="1:34" x14ac:dyDescent="0.25">
      <c r="A110" s="3" t="s">
        <v>160</v>
      </c>
      <c r="B110" s="9">
        <v>43457</v>
      </c>
      <c r="C110" s="3">
        <v>1</v>
      </c>
      <c r="D110" s="3" t="s">
        <v>161</v>
      </c>
      <c r="E110" s="8">
        <v>0.34895833333333331</v>
      </c>
      <c r="F110" s="8">
        <v>0.34916666666666668</v>
      </c>
      <c r="G110" s="6">
        <f t="shared" si="213"/>
        <v>18.000000000002814</v>
      </c>
      <c r="H110" s="2">
        <v>1</v>
      </c>
      <c r="I110" s="2">
        <v>1</v>
      </c>
      <c r="J110" s="2">
        <v>98</v>
      </c>
      <c r="K110" s="2">
        <v>1</v>
      </c>
      <c r="L110" s="10">
        <v>0.34895833333333331</v>
      </c>
      <c r="M110" s="10">
        <v>0.34902777777777777</v>
      </c>
      <c r="N110" s="2">
        <f t="shared" si="214"/>
        <v>6.0000000000009379</v>
      </c>
      <c r="O110" s="2"/>
      <c r="P110" s="13">
        <f t="shared" ref="P110:P111" si="215">(L110-E110)*86400</f>
        <v>0</v>
      </c>
      <c r="Q110" s="2">
        <v>1</v>
      </c>
      <c r="R110" s="7">
        <f t="shared" si="187"/>
        <v>1.6666666666666667</v>
      </c>
      <c r="S110" s="4">
        <v>468</v>
      </c>
      <c r="T110" s="4">
        <v>285</v>
      </c>
      <c r="U110" s="4">
        <v>13.39</v>
      </c>
      <c r="V110" s="4">
        <v>10.07</v>
      </c>
      <c r="W110" s="4">
        <f t="shared" ref="W110" si="216">S110/U110</f>
        <v>34.95145631067961</v>
      </c>
      <c r="X110" s="4">
        <f t="shared" ref="X110" si="217">T110/V110</f>
        <v>28.30188679245283</v>
      </c>
      <c r="Y110" s="4">
        <f t="shared" ref="Y110:Y111" si="218">X110-W110</f>
        <v>-6.6495695182267802</v>
      </c>
      <c r="Z110" s="4">
        <f t="shared" ref="Z110:Z111" si="219">T110-S110</f>
        <v>-183</v>
      </c>
      <c r="AA110" s="4">
        <f t="shared" ref="AA110" si="220">V110-U110</f>
        <v>-3.3200000000000003</v>
      </c>
      <c r="AB110" s="4">
        <v>3</v>
      </c>
      <c r="AC110" s="11">
        <v>0.34896990740740735</v>
      </c>
      <c r="AD110" s="11">
        <v>0.34916666666666668</v>
      </c>
      <c r="AE110" s="4">
        <f t="shared" si="123"/>
        <v>17.000000000005855</v>
      </c>
      <c r="AF110" s="4">
        <f>(AD110-M110)*86400</f>
        <v>12.000000000001876</v>
      </c>
      <c r="AG110" s="4">
        <v>1</v>
      </c>
      <c r="AH110" s="4">
        <f t="shared" si="124"/>
        <v>1.6666666666666667</v>
      </c>
    </row>
    <row r="111" spans="1:34" x14ac:dyDescent="0.25">
      <c r="A111" s="3" t="s">
        <v>162</v>
      </c>
      <c r="B111" s="9">
        <v>43457</v>
      </c>
      <c r="C111" s="3">
        <v>2</v>
      </c>
      <c r="D111" s="3" t="s">
        <v>163</v>
      </c>
      <c r="E111" s="8">
        <v>0.48067129629629629</v>
      </c>
      <c r="F111" s="8">
        <v>0.48106481481481483</v>
      </c>
      <c r="G111" s="6">
        <f t="shared" si="213"/>
        <v>34.000000000002117</v>
      </c>
      <c r="H111" s="2">
        <v>1</v>
      </c>
      <c r="I111" s="2">
        <v>1</v>
      </c>
      <c r="J111" s="2">
        <v>84</v>
      </c>
      <c r="K111" s="2">
        <v>1</v>
      </c>
      <c r="L111" s="10">
        <v>0.48067129629629629</v>
      </c>
      <c r="M111" s="10">
        <v>0.48068287037037033</v>
      </c>
      <c r="N111" s="2">
        <f t="shared" si="214"/>
        <v>0.99999999999695888</v>
      </c>
      <c r="O111" s="2"/>
      <c r="P111" s="13">
        <f t="shared" si="215"/>
        <v>0</v>
      </c>
      <c r="Q111" s="2">
        <v>2</v>
      </c>
      <c r="R111" s="7">
        <f t="shared" si="187"/>
        <v>3.3333333333333335</v>
      </c>
      <c r="S111" s="4">
        <v>59</v>
      </c>
      <c r="T111" s="4">
        <v>0</v>
      </c>
      <c r="U111" s="4">
        <v>1.34</v>
      </c>
      <c r="V111" s="4">
        <v>0</v>
      </c>
      <c r="W111" s="4">
        <f t="shared" ref="W111:W113" si="221">S111/U111</f>
        <v>44.029850746268657</v>
      </c>
      <c r="X111" s="4">
        <v>0</v>
      </c>
      <c r="Y111" s="4">
        <f t="shared" si="218"/>
        <v>-44.029850746268657</v>
      </c>
      <c r="Z111" s="4">
        <f t="shared" si="219"/>
        <v>-59</v>
      </c>
      <c r="AA111" s="4">
        <f t="shared" ref="AA111:AA113" si="222">V111-U111</f>
        <v>-1.34</v>
      </c>
      <c r="AB111" s="4">
        <v>1</v>
      </c>
      <c r="AC111" s="11">
        <v>0.48067129629629629</v>
      </c>
      <c r="AD111" s="11">
        <v>0.48069444444444448</v>
      </c>
      <c r="AE111" s="4">
        <f t="shared" si="123"/>
        <v>2.0000000000035101</v>
      </c>
      <c r="AF111" s="4">
        <f>(AD112-M112)*86400</f>
        <v>6.0000000000009379</v>
      </c>
      <c r="AG111" s="4">
        <v>1</v>
      </c>
      <c r="AH111" s="4">
        <f t="shared" si="124"/>
        <v>1.6666666666666667</v>
      </c>
    </row>
    <row r="112" spans="1:34" x14ac:dyDescent="0.25">
      <c r="A112" s="3"/>
      <c r="B112" s="9">
        <v>43457</v>
      </c>
      <c r="C112" s="3">
        <v>2</v>
      </c>
      <c r="D112" s="3"/>
      <c r="E112" s="8"/>
      <c r="F112" s="8"/>
      <c r="G112" s="6">
        <f t="shared" si="213"/>
        <v>0</v>
      </c>
      <c r="H112" s="2">
        <v>1</v>
      </c>
      <c r="I112" s="2"/>
      <c r="J112" s="2"/>
      <c r="K112" s="2">
        <v>1</v>
      </c>
      <c r="L112" s="10">
        <v>0.48097222222222219</v>
      </c>
      <c r="M112" s="10">
        <v>0.48099537037037038</v>
      </c>
      <c r="N112" s="2">
        <f t="shared" si="214"/>
        <v>2.0000000000035101</v>
      </c>
      <c r="O112" s="2"/>
      <c r="P112" s="2"/>
      <c r="Q112" s="2"/>
      <c r="R112" s="7"/>
      <c r="S112" s="4"/>
      <c r="T112" s="4"/>
      <c r="U112" s="4"/>
      <c r="V112" s="4"/>
      <c r="W112" s="4"/>
      <c r="X112" s="4"/>
      <c r="Y112" s="4"/>
      <c r="Z112" s="4"/>
      <c r="AA112" s="4"/>
      <c r="AB112" s="4">
        <v>3</v>
      </c>
      <c r="AC112" s="11">
        <v>0.48097222222222219</v>
      </c>
      <c r="AD112" s="11">
        <v>0.48106481481481483</v>
      </c>
      <c r="AE112" s="4">
        <f t="shared" si="123"/>
        <v>8.000000000004448</v>
      </c>
      <c r="AF112" s="4"/>
      <c r="AG112" s="4"/>
      <c r="AH112" s="4"/>
    </row>
    <row r="113" spans="1:34" x14ac:dyDescent="0.25">
      <c r="A113" s="3" t="s">
        <v>165</v>
      </c>
      <c r="B113" s="9">
        <v>43457</v>
      </c>
      <c r="C113" s="3">
        <v>3</v>
      </c>
      <c r="D113" s="3" t="s">
        <v>164</v>
      </c>
      <c r="E113" s="8">
        <v>0.6853703703703703</v>
      </c>
      <c r="F113" s="8">
        <v>0.6859143518518519</v>
      </c>
      <c r="G113" s="6">
        <f t="shared" si="213"/>
        <v>47.000000000010544</v>
      </c>
      <c r="H113" s="2">
        <v>2</v>
      </c>
      <c r="I113" s="2">
        <v>1</v>
      </c>
      <c r="J113" s="2">
        <v>106</v>
      </c>
      <c r="K113" s="2">
        <v>0</v>
      </c>
      <c r="L113" s="10"/>
      <c r="M113" s="10"/>
      <c r="N113" s="2">
        <f t="shared" si="214"/>
        <v>0</v>
      </c>
      <c r="O113" s="2"/>
      <c r="P113" s="13">
        <f t="shared" ref="P113:P116" si="223">(L113-E113)*86400</f>
        <v>-59215.999999999993</v>
      </c>
      <c r="Q113" s="2">
        <v>0</v>
      </c>
      <c r="R113" s="7">
        <f t="shared" si="187"/>
        <v>0</v>
      </c>
      <c r="S113" s="4">
        <v>241</v>
      </c>
      <c r="T113" s="4">
        <v>233</v>
      </c>
      <c r="U113" s="4">
        <v>12.4</v>
      </c>
      <c r="V113" s="4">
        <v>12.15</v>
      </c>
      <c r="W113" s="4">
        <f t="shared" si="221"/>
        <v>19.43548387096774</v>
      </c>
      <c r="X113" s="4">
        <f t="shared" ref="X113" si="224">T113/V113</f>
        <v>19.176954732510289</v>
      </c>
      <c r="Y113" s="4">
        <f t="shared" ref="Y113:Y116" si="225">X113-W113</f>
        <v>-0.25852913845745107</v>
      </c>
      <c r="Z113" s="4">
        <f t="shared" ref="Z113:Z116" si="226">T113-S113</f>
        <v>-8</v>
      </c>
      <c r="AA113" s="4">
        <f t="shared" si="222"/>
        <v>-0.25</v>
      </c>
      <c r="AB113" s="4">
        <v>0</v>
      </c>
      <c r="AC113" s="11">
        <v>0.6853703703703703</v>
      </c>
      <c r="AD113" s="11">
        <v>0.6859143518518519</v>
      </c>
      <c r="AE113" s="4">
        <f t="shared" si="123"/>
        <v>47.000000000010544</v>
      </c>
      <c r="AF113" s="4">
        <f>(AD113-M113)*86400</f>
        <v>59263.000000000007</v>
      </c>
      <c r="AG113" s="4">
        <v>0</v>
      </c>
      <c r="AH113" s="4">
        <f t="shared" si="124"/>
        <v>0</v>
      </c>
    </row>
    <row r="114" spans="1:34" x14ac:dyDescent="0.25">
      <c r="A114" s="3" t="s">
        <v>167</v>
      </c>
      <c r="B114" s="9">
        <v>43457</v>
      </c>
      <c r="C114" s="3">
        <v>3</v>
      </c>
      <c r="D114" s="3" t="s">
        <v>166</v>
      </c>
      <c r="E114" s="8">
        <v>0.69656250000000008</v>
      </c>
      <c r="F114" s="8">
        <v>0.69798611111111108</v>
      </c>
      <c r="G114" s="6">
        <f t="shared" si="213"/>
        <v>122.99999999999045</v>
      </c>
      <c r="H114" s="2">
        <v>2</v>
      </c>
      <c r="I114" s="2">
        <v>1</v>
      </c>
      <c r="J114" s="2">
        <v>89</v>
      </c>
      <c r="K114" s="2">
        <v>0</v>
      </c>
      <c r="L114" s="10"/>
      <c r="M114" s="10"/>
      <c r="N114" s="2">
        <f t="shared" si="214"/>
        <v>0</v>
      </c>
      <c r="O114" s="2"/>
      <c r="P114" s="13">
        <f t="shared" si="223"/>
        <v>-60183.000000000007</v>
      </c>
      <c r="Q114" s="2">
        <v>0</v>
      </c>
      <c r="R114" s="7">
        <f t="shared" si="187"/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f t="shared" si="225"/>
        <v>0</v>
      </c>
      <c r="Z114" s="4">
        <f t="shared" si="226"/>
        <v>0</v>
      </c>
      <c r="AA114" s="4">
        <f t="shared" ref="AA114:AA116" si="227">V114-U114</f>
        <v>0</v>
      </c>
      <c r="AB114" s="4">
        <v>0</v>
      </c>
      <c r="AC114" s="11">
        <v>0.69656250000000008</v>
      </c>
      <c r="AD114" s="11">
        <v>0.69798611111111108</v>
      </c>
      <c r="AE114" s="4">
        <f t="shared" si="123"/>
        <v>122.99999999999045</v>
      </c>
      <c r="AF114" s="4">
        <f>(AD114-M114)*86400</f>
        <v>60306</v>
      </c>
      <c r="AG114" s="4">
        <v>0</v>
      </c>
      <c r="AH114" s="4">
        <f t="shared" si="124"/>
        <v>0</v>
      </c>
    </row>
    <row r="115" spans="1:34" x14ac:dyDescent="0.25">
      <c r="A115" s="3" t="s">
        <v>168</v>
      </c>
      <c r="B115" s="9">
        <v>43458</v>
      </c>
      <c r="C115" s="3">
        <v>3</v>
      </c>
      <c r="D115" s="3" t="s">
        <v>169</v>
      </c>
      <c r="E115" s="8">
        <v>0.65017361111111105</v>
      </c>
      <c r="F115" s="8">
        <v>0.65031249999999996</v>
      </c>
      <c r="G115" s="6">
        <f t="shared" si="213"/>
        <v>12.000000000001876</v>
      </c>
      <c r="H115" s="2">
        <v>1</v>
      </c>
      <c r="I115" s="2">
        <v>1</v>
      </c>
      <c r="J115" s="2">
        <v>82</v>
      </c>
      <c r="K115" s="2">
        <v>1</v>
      </c>
      <c r="L115" s="10">
        <v>0.65017361111111105</v>
      </c>
      <c r="M115" s="10">
        <v>0.65026620370370369</v>
      </c>
      <c r="N115" s="2">
        <f t="shared" si="214"/>
        <v>8.000000000004448</v>
      </c>
      <c r="O115" s="2"/>
      <c r="P115" s="13">
        <f t="shared" si="223"/>
        <v>0</v>
      </c>
      <c r="Q115" s="2">
        <v>1</v>
      </c>
      <c r="R115" s="7">
        <f t="shared" si="187"/>
        <v>1.6666666666666667</v>
      </c>
      <c r="S115" s="4">
        <v>206</v>
      </c>
      <c r="T115" s="4">
        <v>120</v>
      </c>
      <c r="U115" s="4">
        <v>6.73</v>
      </c>
      <c r="V115" s="4">
        <v>4.74</v>
      </c>
      <c r="W115" s="4">
        <f t="shared" ref="W115" si="228">S115/U115</f>
        <v>30.609212481426447</v>
      </c>
      <c r="X115" s="4">
        <f t="shared" ref="X115" si="229">T115/V115</f>
        <v>25.316455696202532</v>
      </c>
      <c r="Y115" s="4">
        <f t="shared" si="225"/>
        <v>-5.292756785223915</v>
      </c>
      <c r="Z115" s="4">
        <f t="shared" si="226"/>
        <v>-86</v>
      </c>
      <c r="AA115" s="4">
        <f t="shared" si="227"/>
        <v>-1.9900000000000002</v>
      </c>
      <c r="AB115" s="4">
        <v>2</v>
      </c>
      <c r="AC115" s="11">
        <v>0.65017361111111105</v>
      </c>
      <c r="AD115" s="11">
        <v>0.65031249999999996</v>
      </c>
      <c r="AE115" s="4">
        <f t="shared" si="123"/>
        <v>12.000000000001876</v>
      </c>
      <c r="AF115" s="4">
        <f>(AD115-M115)*86400</f>
        <v>3.9999999999974278</v>
      </c>
      <c r="AG115" s="4">
        <v>1</v>
      </c>
      <c r="AH115" s="4">
        <f t="shared" si="124"/>
        <v>1.6666666666666667</v>
      </c>
    </row>
    <row r="116" spans="1:34" x14ac:dyDescent="0.25">
      <c r="A116" s="3" t="s">
        <v>170</v>
      </c>
      <c r="B116" s="9">
        <v>43458</v>
      </c>
      <c r="C116" s="3">
        <v>3</v>
      </c>
      <c r="D116" s="3" t="s">
        <v>171</v>
      </c>
      <c r="E116" s="8">
        <v>0.65752314814814816</v>
      </c>
      <c r="F116" s="8">
        <v>0.65858796296296296</v>
      </c>
      <c r="G116" s="6">
        <f>(F116-E116)*86400</f>
        <v>91.999999999998394</v>
      </c>
      <c r="H116" s="2">
        <v>1</v>
      </c>
      <c r="I116" s="2">
        <v>1</v>
      </c>
      <c r="J116" s="2">
        <v>79</v>
      </c>
      <c r="K116" s="2">
        <v>1</v>
      </c>
      <c r="L116" s="10">
        <v>0.65752314814814816</v>
      </c>
      <c r="M116" s="10">
        <v>0.65754629629629624</v>
      </c>
      <c r="N116" s="2">
        <f>(M116-L116)*86400</f>
        <v>1.9999999999939178</v>
      </c>
      <c r="O116" s="2"/>
      <c r="P116" s="13">
        <f t="shared" si="223"/>
        <v>0</v>
      </c>
      <c r="Q116" s="2">
        <v>2</v>
      </c>
      <c r="R116" s="7">
        <f t="shared" si="187"/>
        <v>3.3333333333333335</v>
      </c>
      <c r="S116" s="4">
        <v>272</v>
      </c>
      <c r="T116" s="4">
        <v>258</v>
      </c>
      <c r="U116" s="4">
        <v>7.75</v>
      </c>
      <c r="V116" s="4">
        <v>7.74</v>
      </c>
      <c r="W116" s="4">
        <f t="shared" ref="W116" si="230">S116/U116</f>
        <v>35.096774193548384</v>
      </c>
      <c r="X116" s="4">
        <f t="shared" ref="X116" si="231">T116/V116</f>
        <v>33.333333333333336</v>
      </c>
      <c r="Y116" s="4">
        <f t="shared" si="225"/>
        <v>-1.7634408602150486</v>
      </c>
      <c r="Z116" s="4">
        <f t="shared" si="226"/>
        <v>-14</v>
      </c>
      <c r="AA116" s="4">
        <f t="shared" si="227"/>
        <v>-9.9999999999997868E-3</v>
      </c>
      <c r="AB116" s="4">
        <v>2</v>
      </c>
      <c r="AC116" s="11">
        <v>0.65752314814814816</v>
      </c>
      <c r="AD116" s="11">
        <v>0.65767361111111111</v>
      </c>
      <c r="AE116" s="4">
        <f t="shared" si="123"/>
        <v>12.999999999998835</v>
      </c>
      <c r="AF116" s="4">
        <f>(AD119-M119)*86400</f>
        <v>0</v>
      </c>
      <c r="AG116" s="4">
        <v>2</v>
      </c>
      <c r="AH116" s="4">
        <f t="shared" si="124"/>
        <v>3.3333333333333335</v>
      </c>
    </row>
    <row r="117" spans="1:34" x14ac:dyDescent="0.25">
      <c r="A117" s="3"/>
      <c r="B117" s="9">
        <v>43458</v>
      </c>
      <c r="C117" s="3">
        <v>3</v>
      </c>
      <c r="D117" s="3"/>
      <c r="E117" s="8"/>
      <c r="F117" s="8"/>
      <c r="G117" s="6">
        <f t="shared" si="213"/>
        <v>0</v>
      </c>
      <c r="H117" s="2">
        <v>1</v>
      </c>
      <c r="I117" s="2"/>
      <c r="J117" s="2"/>
      <c r="K117" s="2">
        <v>0</v>
      </c>
      <c r="L117" s="10">
        <v>0.65769675925925919</v>
      </c>
      <c r="M117" s="10">
        <v>0.6578356481481481</v>
      </c>
      <c r="N117" s="2">
        <f t="shared" si="214"/>
        <v>12.000000000001876</v>
      </c>
      <c r="O117" s="2"/>
      <c r="P117" s="2"/>
      <c r="Q117" s="2"/>
      <c r="R117" s="7"/>
      <c r="S117" s="4"/>
      <c r="T117" s="4"/>
      <c r="U117" s="4"/>
      <c r="V117" s="4"/>
      <c r="W117" s="4"/>
      <c r="X117" s="4"/>
      <c r="Y117" s="4"/>
      <c r="Z117" s="4"/>
      <c r="AA117" s="4"/>
      <c r="AB117" s="4">
        <v>0</v>
      </c>
      <c r="AC117" s="11"/>
      <c r="AD117" s="11"/>
      <c r="AE117" s="4">
        <f t="shared" si="123"/>
        <v>0</v>
      </c>
      <c r="AF117" s="4"/>
      <c r="AG117" s="4"/>
      <c r="AH117" s="4"/>
    </row>
    <row r="118" spans="1:34" x14ac:dyDescent="0.25">
      <c r="A118" s="3"/>
      <c r="B118" s="9">
        <v>43458</v>
      </c>
      <c r="C118" s="3">
        <v>3</v>
      </c>
      <c r="D118" s="3"/>
      <c r="E118" s="8"/>
      <c r="F118" s="8"/>
      <c r="G118" s="6">
        <f t="shared" si="213"/>
        <v>0</v>
      </c>
      <c r="H118" s="2">
        <v>1</v>
      </c>
      <c r="I118" s="2"/>
      <c r="J118" s="2"/>
      <c r="K118" s="2">
        <v>0</v>
      </c>
      <c r="L118" s="10">
        <v>0.6579976851851852</v>
      </c>
      <c r="M118" s="10">
        <v>0.65814814814814815</v>
      </c>
      <c r="N118" s="2">
        <f t="shared" si="214"/>
        <v>12.999999999998835</v>
      </c>
      <c r="O118" s="2"/>
      <c r="P118" s="2"/>
      <c r="Q118" s="2"/>
      <c r="R118" s="7"/>
      <c r="S118" s="4"/>
      <c r="T118" s="4"/>
      <c r="U118" s="4"/>
      <c r="V118" s="4"/>
      <c r="W118" s="4"/>
      <c r="X118" s="4"/>
      <c r="Y118" s="4"/>
      <c r="Z118" s="4"/>
      <c r="AA118" s="4"/>
      <c r="AB118" s="4">
        <v>0</v>
      </c>
      <c r="AC118" s="11"/>
      <c r="AD118" s="11"/>
      <c r="AE118" s="4">
        <f t="shared" ref="AE118:AE184" si="232">(AD118-AC118)*86400</f>
        <v>0</v>
      </c>
      <c r="AF118" s="4"/>
      <c r="AG118" s="4"/>
      <c r="AH118" s="4"/>
    </row>
    <row r="119" spans="1:34" x14ac:dyDescent="0.25">
      <c r="A119" s="3"/>
      <c r="B119" s="9">
        <v>43458</v>
      </c>
      <c r="C119" s="3">
        <v>3</v>
      </c>
      <c r="D119" s="3"/>
      <c r="E119" s="8"/>
      <c r="F119" s="8"/>
      <c r="G119" s="6">
        <f t="shared" si="213"/>
        <v>0</v>
      </c>
      <c r="H119" s="2">
        <v>1</v>
      </c>
      <c r="I119" s="2"/>
      <c r="J119" s="2"/>
      <c r="K119" s="2">
        <v>1</v>
      </c>
      <c r="L119" s="10">
        <v>0.65853009259259265</v>
      </c>
      <c r="M119" s="10">
        <v>0.65858796296296296</v>
      </c>
      <c r="N119" s="2">
        <f t="shared" si="214"/>
        <v>4.9999999999943867</v>
      </c>
      <c r="O119" s="2"/>
      <c r="P119" s="2"/>
      <c r="Q119" s="2"/>
      <c r="R119" s="7"/>
      <c r="S119" s="4"/>
      <c r="T119" s="4"/>
      <c r="U119" s="4"/>
      <c r="V119" s="4"/>
      <c r="W119" s="4"/>
      <c r="X119" s="4"/>
      <c r="Y119" s="4"/>
      <c r="Z119" s="4"/>
      <c r="AA119" s="4"/>
      <c r="AB119" s="4">
        <v>1</v>
      </c>
      <c r="AC119" s="11">
        <v>0.65853009259259265</v>
      </c>
      <c r="AD119" s="11">
        <v>0.65858796296296296</v>
      </c>
      <c r="AE119" s="4">
        <f t="shared" si="232"/>
        <v>4.9999999999943867</v>
      </c>
      <c r="AF119" s="4"/>
      <c r="AG119" s="4"/>
      <c r="AH119" s="4"/>
    </row>
    <row r="120" spans="1:34" x14ac:dyDescent="0.25">
      <c r="A120" s="3" t="s">
        <v>172</v>
      </c>
      <c r="B120" s="9">
        <v>43458</v>
      </c>
      <c r="C120" s="3">
        <v>3</v>
      </c>
      <c r="D120" s="3" t="s">
        <v>173</v>
      </c>
      <c r="E120" s="8">
        <v>0.66817129629629635</v>
      </c>
      <c r="F120" s="8">
        <v>0.67207175925925933</v>
      </c>
      <c r="G120" s="6">
        <f t="shared" si="213"/>
        <v>337.00000000000153</v>
      </c>
      <c r="H120" s="2">
        <v>2</v>
      </c>
      <c r="I120" s="2">
        <v>1</v>
      </c>
      <c r="J120" s="2">
        <v>124</v>
      </c>
      <c r="K120" s="2">
        <v>0</v>
      </c>
      <c r="L120" s="10">
        <v>0.66817129629629635</v>
      </c>
      <c r="M120" s="10">
        <v>0.66993055555555558</v>
      </c>
      <c r="N120" s="2">
        <f t="shared" si="214"/>
        <v>151.99999999999818</v>
      </c>
      <c r="O120" s="2">
        <v>1</v>
      </c>
      <c r="P120" s="13">
        <f>(L121-E120)*86400</f>
        <v>152.99999999999514</v>
      </c>
      <c r="Q120" s="2">
        <v>1</v>
      </c>
      <c r="R120" s="7">
        <f t="shared" si="187"/>
        <v>1.6666666666666667</v>
      </c>
      <c r="S120" s="4">
        <v>525</v>
      </c>
      <c r="T120" s="4">
        <v>509</v>
      </c>
      <c r="U120" s="4">
        <v>12.85</v>
      </c>
      <c r="V120" s="4">
        <v>13.04</v>
      </c>
      <c r="W120" s="4">
        <f t="shared" ref="W120" si="233">S120/U120</f>
        <v>40.856031128404673</v>
      </c>
      <c r="X120" s="4">
        <f t="shared" ref="X120" si="234">T120/V120</f>
        <v>39.033742331288344</v>
      </c>
      <c r="Y120" s="4">
        <f>X120-W120</f>
        <v>-1.8222887971163289</v>
      </c>
      <c r="Z120" s="4">
        <f>T120-S120</f>
        <v>-16</v>
      </c>
      <c r="AA120" s="4">
        <f t="shared" ref="AA120" si="235">V120-U120</f>
        <v>0.1899999999999995</v>
      </c>
      <c r="AB120" s="4">
        <v>4</v>
      </c>
      <c r="AC120" s="11">
        <v>0.66817129629629635</v>
      </c>
      <c r="AD120" s="11">
        <v>0.66993055555555558</v>
      </c>
      <c r="AE120" s="4">
        <f t="shared" si="232"/>
        <v>151.99999999999818</v>
      </c>
      <c r="AF120" s="4">
        <f>(AD122-M122)*86400</f>
        <v>0</v>
      </c>
      <c r="AG120" s="4">
        <v>5</v>
      </c>
      <c r="AH120" s="4">
        <f t="shared" ref="AH120:AH184" si="236">AG120/0.6</f>
        <v>8.3333333333333339</v>
      </c>
    </row>
    <row r="121" spans="1:34" x14ac:dyDescent="0.25">
      <c r="A121" s="3"/>
      <c r="B121" s="9">
        <v>43458</v>
      </c>
      <c r="C121" s="3">
        <v>3</v>
      </c>
      <c r="D121" s="3"/>
      <c r="E121" s="8"/>
      <c r="F121" s="8"/>
      <c r="G121" s="6">
        <f t="shared" si="213"/>
        <v>0</v>
      </c>
      <c r="H121" s="2">
        <v>2</v>
      </c>
      <c r="I121" s="2"/>
      <c r="J121" s="2"/>
      <c r="K121" s="2">
        <v>1</v>
      </c>
      <c r="L121" s="10">
        <v>0.66994212962962962</v>
      </c>
      <c r="M121" s="10">
        <v>0.66995370370370377</v>
      </c>
      <c r="N121" s="2">
        <f t="shared" si="214"/>
        <v>1.0000000000065512</v>
      </c>
      <c r="O121" s="2"/>
      <c r="P121" s="2"/>
      <c r="Q121" s="2"/>
      <c r="R121" s="7"/>
      <c r="S121" s="4">
        <v>366</v>
      </c>
      <c r="T121" s="4">
        <v>299</v>
      </c>
      <c r="U121" s="4">
        <v>11.21</v>
      </c>
      <c r="V121" s="4">
        <v>6.9</v>
      </c>
      <c r="W121" s="4">
        <f t="shared" ref="W121" si="237">S121/U121</f>
        <v>32.649420160570919</v>
      </c>
      <c r="X121" s="4">
        <f t="shared" ref="X121" si="238">T121/V121</f>
        <v>43.333333333333329</v>
      </c>
      <c r="Y121" s="4">
        <f t="shared" ref="Y121" si="239">X121-W121</f>
        <v>10.683913172762409</v>
      </c>
      <c r="Z121" s="4"/>
      <c r="AA121" s="4">
        <f t="shared" ref="AA121" si="240">V121-U121</f>
        <v>-4.3100000000000005</v>
      </c>
      <c r="AB121" s="4">
        <v>2</v>
      </c>
      <c r="AC121" s="11">
        <v>0.66994212962962962</v>
      </c>
      <c r="AD121" s="11">
        <v>0.67008101851851853</v>
      </c>
      <c r="AE121" s="4">
        <f t="shared" si="232"/>
        <v>12.000000000001876</v>
      </c>
      <c r="AF121" s="4"/>
      <c r="AG121" s="4"/>
      <c r="AH121" s="4"/>
    </row>
    <row r="122" spans="1:34" x14ac:dyDescent="0.25">
      <c r="A122" s="3"/>
      <c r="B122" s="9">
        <v>43458</v>
      </c>
      <c r="C122" s="3">
        <v>3</v>
      </c>
      <c r="D122" s="3"/>
      <c r="E122" s="8"/>
      <c r="F122" s="8"/>
      <c r="G122" s="6">
        <f t="shared" si="213"/>
        <v>0</v>
      </c>
      <c r="H122" s="2">
        <v>2</v>
      </c>
      <c r="I122" s="2"/>
      <c r="J122" s="2"/>
      <c r="K122" s="2">
        <v>0</v>
      </c>
      <c r="L122" s="10">
        <v>0.67008101851851853</v>
      </c>
      <c r="M122" s="10">
        <v>0.67207175925925933</v>
      </c>
      <c r="N122" s="2">
        <f t="shared" si="214"/>
        <v>172.00000000000449</v>
      </c>
      <c r="O122" s="2"/>
      <c r="P122" s="2"/>
      <c r="Q122" s="2"/>
      <c r="R122" s="7"/>
      <c r="S122" s="4"/>
      <c r="T122" s="4"/>
      <c r="U122" s="4"/>
      <c r="V122" s="4"/>
      <c r="W122" s="4"/>
      <c r="X122" s="4"/>
      <c r="Y122" s="4"/>
      <c r="Z122" s="4"/>
      <c r="AA122" s="4"/>
      <c r="AB122" s="4">
        <v>4</v>
      </c>
      <c r="AC122" s="11">
        <v>0.67008101851851853</v>
      </c>
      <c r="AD122" s="11">
        <v>0.67207175925925933</v>
      </c>
      <c r="AE122" s="4">
        <f t="shared" si="232"/>
        <v>172.00000000000449</v>
      </c>
      <c r="AF122" s="4"/>
      <c r="AG122" s="4"/>
      <c r="AH122" s="4"/>
    </row>
    <row r="123" spans="1:34" x14ac:dyDescent="0.25">
      <c r="A123" s="3" t="s">
        <v>172</v>
      </c>
      <c r="B123" s="9">
        <v>43458</v>
      </c>
      <c r="C123" s="3">
        <v>3</v>
      </c>
      <c r="D123" s="3" t="s">
        <v>174</v>
      </c>
      <c r="E123" s="8">
        <v>0.67251157407407414</v>
      </c>
      <c r="F123" s="8">
        <v>0.67325231481481485</v>
      </c>
      <c r="G123" s="6">
        <f t="shared" si="213"/>
        <v>63.999999999997215</v>
      </c>
      <c r="H123" s="2">
        <v>2</v>
      </c>
      <c r="I123" s="2">
        <v>1</v>
      </c>
      <c r="J123" s="2">
        <v>124</v>
      </c>
      <c r="K123" s="2">
        <v>0</v>
      </c>
      <c r="L123" s="10">
        <v>0.67251157407407414</v>
      </c>
      <c r="M123" s="10">
        <v>0.67325231481481485</v>
      </c>
      <c r="N123" s="2">
        <f t="shared" si="214"/>
        <v>63.999999999997215</v>
      </c>
      <c r="O123" s="2"/>
      <c r="P123" s="13">
        <f t="shared" ref="P123" si="241">(L123-E123)*86400</f>
        <v>0</v>
      </c>
      <c r="Q123" s="2">
        <v>0</v>
      </c>
      <c r="R123" s="7">
        <f t="shared" si="187"/>
        <v>0</v>
      </c>
      <c r="S123" s="4">
        <v>456</v>
      </c>
      <c r="T123" s="4">
        <v>422</v>
      </c>
      <c r="U123" s="4">
        <v>13.73</v>
      </c>
      <c r="V123" s="4">
        <v>12.38</v>
      </c>
      <c r="W123" s="4">
        <f t="shared" ref="W123" si="242">S123/U123</f>
        <v>33.211944646758923</v>
      </c>
      <c r="X123" s="4">
        <f t="shared" ref="X123" si="243">T123/V123</f>
        <v>34.087237479806134</v>
      </c>
      <c r="Y123" s="4">
        <f t="shared" ref="Y123:Y124" si="244">X123-W123</f>
        <v>0.87529283304721162</v>
      </c>
      <c r="Z123" s="4">
        <f t="shared" ref="Z123:Z124" si="245">T123-S123</f>
        <v>-34</v>
      </c>
      <c r="AA123" s="4">
        <f t="shared" ref="AA123" si="246">V123-U123</f>
        <v>-1.3499999999999996</v>
      </c>
      <c r="AB123" s="4">
        <v>4</v>
      </c>
      <c r="AC123" s="11">
        <v>0.67251157407407414</v>
      </c>
      <c r="AD123" s="11">
        <v>0.67325231481481485</v>
      </c>
      <c r="AE123" s="4">
        <f t="shared" si="232"/>
        <v>63.999999999997215</v>
      </c>
      <c r="AF123" s="4">
        <f>(AD123-M123)*86400</f>
        <v>0</v>
      </c>
      <c r="AG123" s="4">
        <v>2</v>
      </c>
      <c r="AH123" s="4">
        <f t="shared" si="236"/>
        <v>3.3333333333333335</v>
      </c>
    </row>
    <row r="124" spans="1:34" x14ac:dyDescent="0.25">
      <c r="A124" s="3" t="s">
        <v>175</v>
      </c>
      <c r="B124" s="9">
        <v>43458</v>
      </c>
      <c r="C124" s="3">
        <v>3</v>
      </c>
      <c r="D124" s="3" t="s">
        <v>176</v>
      </c>
      <c r="E124" s="8">
        <v>0.67361111111111116</v>
      </c>
      <c r="F124" s="8">
        <v>0.67569444444444438</v>
      </c>
      <c r="G124" s="6">
        <f t="shared" si="213"/>
        <v>179.99999999998977</v>
      </c>
      <c r="H124" s="2">
        <v>2</v>
      </c>
      <c r="I124" s="2">
        <v>2</v>
      </c>
      <c r="J124" s="2">
        <v>110</v>
      </c>
      <c r="K124" s="2">
        <v>1</v>
      </c>
      <c r="L124" s="10">
        <v>0.67361111111111116</v>
      </c>
      <c r="M124" s="10">
        <v>0.6740856481481482</v>
      </c>
      <c r="N124" s="2">
        <f t="shared" si="214"/>
        <v>41.000000000000014</v>
      </c>
      <c r="O124" s="2">
        <v>1</v>
      </c>
      <c r="P124" s="13">
        <f>(L125-E124)*86400</f>
        <v>41.999999999996973</v>
      </c>
      <c r="Q124" s="2">
        <v>3</v>
      </c>
      <c r="R124" s="7">
        <f t="shared" si="187"/>
        <v>5</v>
      </c>
      <c r="S124" s="4">
        <v>475</v>
      </c>
      <c r="T124" s="4">
        <v>412</v>
      </c>
      <c r="U124" s="4">
        <v>13.09</v>
      </c>
      <c r="V124" s="4">
        <v>11.55</v>
      </c>
      <c r="W124" s="4">
        <f t="shared" ref="W124" si="247">S124/U124</f>
        <v>36.28724216959511</v>
      </c>
      <c r="X124" s="4">
        <f t="shared" ref="X124" si="248">T124/V124</f>
        <v>35.670995670995666</v>
      </c>
      <c r="Y124" s="4">
        <f t="shared" si="244"/>
        <v>-0.61624649859944469</v>
      </c>
      <c r="Z124" s="4">
        <f t="shared" si="245"/>
        <v>-63</v>
      </c>
      <c r="AA124" s="4">
        <f t="shared" ref="AA124" si="249">V124-U124</f>
        <v>-1.5399999999999991</v>
      </c>
      <c r="AB124" s="4">
        <v>4</v>
      </c>
      <c r="AC124" s="11">
        <v>0.67361111111111116</v>
      </c>
      <c r="AD124" s="11">
        <v>0.6740856481481482</v>
      </c>
      <c r="AE124" s="4">
        <f t="shared" si="232"/>
        <v>41.000000000000014</v>
      </c>
      <c r="AF124" s="4">
        <f>(AD128-M128)*86400</f>
        <v>20.99999999999369</v>
      </c>
      <c r="AG124" s="4">
        <v>11</v>
      </c>
      <c r="AH124" s="4">
        <f t="shared" si="236"/>
        <v>18.333333333333336</v>
      </c>
    </row>
    <row r="125" spans="1:34" x14ac:dyDescent="0.25">
      <c r="A125" s="3"/>
      <c r="B125" s="9">
        <v>43458</v>
      </c>
      <c r="C125" s="3">
        <v>3</v>
      </c>
      <c r="D125" s="3"/>
      <c r="E125" s="8"/>
      <c r="F125" s="8"/>
      <c r="G125" s="6">
        <f t="shared" si="213"/>
        <v>0</v>
      </c>
      <c r="H125" s="2">
        <v>2</v>
      </c>
      <c r="I125" s="2"/>
      <c r="J125" s="2"/>
      <c r="K125" s="2">
        <v>1</v>
      </c>
      <c r="L125" s="10">
        <v>0.67409722222222224</v>
      </c>
      <c r="M125" s="10">
        <v>0.67412037037037031</v>
      </c>
      <c r="N125" s="2">
        <f t="shared" si="214"/>
        <v>1.9999999999939178</v>
      </c>
      <c r="O125" s="2"/>
      <c r="P125" s="2"/>
      <c r="Q125" s="2"/>
      <c r="R125" s="7"/>
      <c r="S125" s="4"/>
      <c r="T125" s="4"/>
      <c r="U125" s="4"/>
      <c r="V125" s="4"/>
      <c r="W125" s="4"/>
      <c r="X125" s="4"/>
      <c r="Y125" s="4"/>
      <c r="Z125" s="4"/>
      <c r="AA125" s="4"/>
      <c r="AB125" s="4">
        <v>3</v>
      </c>
      <c r="AC125" s="11">
        <v>0.6740856481481482</v>
      </c>
      <c r="AD125" s="11">
        <v>0.6742824074074073</v>
      </c>
      <c r="AE125" s="4">
        <f t="shared" si="232"/>
        <v>16.99999999998667</v>
      </c>
      <c r="AF125" s="4"/>
      <c r="AG125" s="4"/>
      <c r="AH125" s="4"/>
    </row>
    <row r="126" spans="1:34" x14ac:dyDescent="0.25">
      <c r="A126" s="3"/>
      <c r="B126" s="9">
        <v>43458</v>
      </c>
      <c r="C126" s="3">
        <v>3</v>
      </c>
      <c r="D126" s="3"/>
      <c r="E126" s="8"/>
      <c r="F126" s="8"/>
      <c r="G126" s="6">
        <f t="shared" si="213"/>
        <v>0</v>
      </c>
      <c r="H126" s="2">
        <v>2</v>
      </c>
      <c r="I126" s="2"/>
      <c r="J126" s="2"/>
      <c r="K126" s="2">
        <v>0</v>
      </c>
      <c r="L126" s="10">
        <v>0.6742824074074073</v>
      </c>
      <c r="M126" s="10">
        <v>0.6753703703703704</v>
      </c>
      <c r="N126" s="2">
        <f t="shared" si="214"/>
        <v>94.000000000011497</v>
      </c>
      <c r="O126" s="2"/>
      <c r="P126" s="2"/>
      <c r="Q126" s="2"/>
      <c r="R126" s="7"/>
      <c r="S126" s="4"/>
      <c r="T126" s="4"/>
      <c r="U126" s="4"/>
      <c r="V126" s="4"/>
      <c r="W126" s="4"/>
      <c r="X126" s="4"/>
      <c r="Y126" s="4"/>
      <c r="Z126" s="4"/>
      <c r="AA126" s="4"/>
      <c r="AB126" s="4">
        <v>4</v>
      </c>
      <c r="AC126" s="11">
        <v>0.6742824074074073</v>
      </c>
      <c r="AD126" s="11">
        <v>0.6753703703703704</v>
      </c>
      <c r="AE126" s="4">
        <f t="shared" si="232"/>
        <v>94.000000000011497</v>
      </c>
      <c r="AF126" s="4"/>
      <c r="AG126" s="4"/>
      <c r="AH126" s="4"/>
    </row>
    <row r="127" spans="1:34" x14ac:dyDescent="0.25">
      <c r="A127" s="3"/>
      <c r="B127" s="9">
        <v>43458</v>
      </c>
      <c r="C127" s="3">
        <v>3</v>
      </c>
      <c r="D127" s="3"/>
      <c r="E127" s="8"/>
      <c r="F127" s="8"/>
      <c r="G127" s="6">
        <f t="shared" si="213"/>
        <v>0</v>
      </c>
      <c r="H127" s="2">
        <v>2</v>
      </c>
      <c r="I127" s="2"/>
      <c r="J127" s="2"/>
      <c r="K127" s="2">
        <v>1</v>
      </c>
      <c r="L127" s="10">
        <v>0.6753703703703704</v>
      </c>
      <c r="M127" s="10">
        <v>0.67539351851851848</v>
      </c>
      <c r="N127" s="2">
        <f t="shared" si="214"/>
        <v>1.9999999999939178</v>
      </c>
      <c r="O127" s="2"/>
      <c r="P127" s="2"/>
      <c r="Q127" s="2"/>
      <c r="R127" s="7"/>
      <c r="S127" s="4"/>
      <c r="T127" s="4"/>
      <c r="U127" s="4"/>
      <c r="V127" s="4"/>
      <c r="W127" s="4"/>
      <c r="X127" s="4"/>
      <c r="Y127" s="4"/>
      <c r="Z127" s="4"/>
      <c r="AA127" s="4"/>
      <c r="AB127" s="4">
        <v>2</v>
      </c>
      <c r="AC127" s="11">
        <v>0.6753703703703704</v>
      </c>
      <c r="AD127" s="11">
        <v>0.67543981481481474</v>
      </c>
      <c r="AE127" s="4">
        <f t="shared" si="232"/>
        <v>5.9999999999913456</v>
      </c>
      <c r="AF127" s="4"/>
      <c r="AG127" s="4"/>
      <c r="AH127" s="4"/>
    </row>
    <row r="128" spans="1:34" x14ac:dyDescent="0.25">
      <c r="A128" s="3"/>
      <c r="B128" s="9">
        <v>43458</v>
      </c>
      <c r="C128" s="3">
        <v>3</v>
      </c>
      <c r="D128" s="3"/>
      <c r="E128" s="8"/>
      <c r="F128" s="8"/>
      <c r="G128" s="6">
        <f t="shared" ref="G128:G150" si="250">(F128-E128)*86400</f>
        <v>0</v>
      </c>
      <c r="H128" s="2">
        <v>2</v>
      </c>
      <c r="I128" s="2"/>
      <c r="J128" s="2"/>
      <c r="K128" s="2">
        <v>1</v>
      </c>
      <c r="L128" s="10">
        <v>0.67543981481481474</v>
      </c>
      <c r="M128" s="10">
        <v>0.67545138888888889</v>
      </c>
      <c r="N128" s="2">
        <f t="shared" ref="N128:N150" si="251">(M128-L128)*86400</f>
        <v>1.0000000000065512</v>
      </c>
      <c r="O128" s="2"/>
      <c r="P128" s="2"/>
      <c r="Q128" s="2"/>
      <c r="R128" s="7"/>
      <c r="S128" s="4"/>
      <c r="T128" s="4"/>
      <c r="U128" s="4"/>
      <c r="V128" s="4"/>
      <c r="W128" s="4"/>
      <c r="X128" s="4"/>
      <c r="Y128" s="4"/>
      <c r="Z128" s="4"/>
      <c r="AA128" s="4"/>
      <c r="AB128" s="4">
        <v>3</v>
      </c>
      <c r="AC128" s="11">
        <v>0.67543981481481474</v>
      </c>
      <c r="AD128" s="11">
        <v>0.67569444444444438</v>
      </c>
      <c r="AE128" s="4">
        <f t="shared" si="232"/>
        <v>22.000000000000242</v>
      </c>
      <c r="AF128" s="4"/>
      <c r="AG128" s="4"/>
      <c r="AH128" s="4"/>
    </row>
    <row r="129" spans="1:34" x14ac:dyDescent="0.25">
      <c r="A129" s="3" t="s">
        <v>178</v>
      </c>
      <c r="B129" s="9">
        <v>43458</v>
      </c>
      <c r="C129" s="3">
        <v>4</v>
      </c>
      <c r="D129" s="3" t="s">
        <v>177</v>
      </c>
      <c r="E129" s="8">
        <v>1.3483796296296298E-2</v>
      </c>
      <c r="F129" s="8">
        <v>1.5173611111111112E-2</v>
      </c>
      <c r="G129" s="6">
        <f t="shared" si="250"/>
        <v>145.99999999999994</v>
      </c>
      <c r="H129" s="2">
        <v>2</v>
      </c>
      <c r="I129" s="2">
        <v>1</v>
      </c>
      <c r="J129" s="2">
        <v>124</v>
      </c>
      <c r="K129" s="2">
        <v>0</v>
      </c>
      <c r="L129" s="10">
        <v>1.3483796296296298E-2</v>
      </c>
      <c r="M129" s="10">
        <v>1.5173611111111112E-2</v>
      </c>
      <c r="N129" s="2">
        <f t="shared" si="251"/>
        <v>145.99999999999994</v>
      </c>
      <c r="O129" s="2"/>
      <c r="P129" s="13">
        <f t="shared" ref="P129:P137" si="252">(L129-E129)*86400</f>
        <v>0</v>
      </c>
      <c r="Q129" s="2">
        <v>0</v>
      </c>
      <c r="R129" s="7">
        <f t="shared" si="187"/>
        <v>0</v>
      </c>
      <c r="S129" s="4"/>
      <c r="T129" s="4"/>
      <c r="U129" s="4"/>
      <c r="V129" s="4"/>
      <c r="W129" s="4"/>
      <c r="X129" s="4"/>
      <c r="Y129" s="4">
        <f t="shared" ref="Y129:Y139" si="253">X129-W129</f>
        <v>0</v>
      </c>
      <c r="Z129" s="4">
        <f t="shared" ref="Z129:Z138" si="254">T129-S129</f>
        <v>0</v>
      </c>
      <c r="AA129" s="4"/>
      <c r="AB129" s="4">
        <v>0</v>
      </c>
      <c r="AC129" s="11"/>
      <c r="AD129" s="11"/>
      <c r="AE129" s="4">
        <f t="shared" si="232"/>
        <v>0</v>
      </c>
      <c r="AF129" s="4">
        <f t="shared" ref="AF129:AF137" si="255">(AD129-M129)*86400</f>
        <v>-1311</v>
      </c>
      <c r="AG129" s="4">
        <v>0</v>
      </c>
      <c r="AH129" s="4">
        <f t="shared" si="236"/>
        <v>0</v>
      </c>
    </row>
    <row r="130" spans="1:34" x14ac:dyDescent="0.25">
      <c r="A130" s="3" t="s">
        <v>179</v>
      </c>
      <c r="B130" s="9">
        <v>43458</v>
      </c>
      <c r="C130" s="3">
        <v>4</v>
      </c>
      <c r="D130" s="3" t="s">
        <v>180</v>
      </c>
      <c r="E130" s="8">
        <v>4.0706018518518523E-2</v>
      </c>
      <c r="F130" s="8">
        <v>4.1828703703703701E-2</v>
      </c>
      <c r="G130" s="6">
        <f t="shared" si="250"/>
        <v>96.999999999999375</v>
      </c>
      <c r="H130" s="2">
        <v>2</v>
      </c>
      <c r="I130" s="2">
        <v>1</v>
      </c>
      <c r="J130" s="2">
        <v>131</v>
      </c>
      <c r="K130" s="2">
        <v>0</v>
      </c>
      <c r="L130" s="10">
        <v>4.0706018518518523E-2</v>
      </c>
      <c r="M130" s="10">
        <v>4.1828703703703701E-2</v>
      </c>
      <c r="N130" s="2">
        <f t="shared" si="251"/>
        <v>96.999999999999375</v>
      </c>
      <c r="O130" s="2"/>
      <c r="P130" s="13">
        <f t="shared" si="252"/>
        <v>0</v>
      </c>
      <c r="Q130" s="2">
        <v>0</v>
      </c>
      <c r="R130" s="7">
        <f t="shared" si="187"/>
        <v>0</v>
      </c>
      <c r="S130" s="4">
        <v>46</v>
      </c>
      <c r="T130" s="4">
        <v>48</v>
      </c>
      <c r="U130" s="4">
        <v>1.26</v>
      </c>
      <c r="V130" s="4">
        <v>1.61</v>
      </c>
      <c r="W130" s="4">
        <f t="shared" ref="W130" si="256">S130/U130</f>
        <v>36.507936507936506</v>
      </c>
      <c r="X130" s="4">
        <f t="shared" ref="X130" si="257">T130/V130</f>
        <v>29.813664596273291</v>
      </c>
      <c r="Y130" s="4">
        <f t="shared" si="253"/>
        <v>-6.6942719116632148</v>
      </c>
      <c r="Z130" s="4">
        <f t="shared" si="254"/>
        <v>2</v>
      </c>
      <c r="AA130" s="4">
        <f t="shared" ref="AA130" si="258">V130-U130</f>
        <v>0.35000000000000009</v>
      </c>
      <c r="AB130" s="4">
        <v>4</v>
      </c>
      <c r="AC130" s="11">
        <v>4.0706018518518523E-2</v>
      </c>
      <c r="AD130" s="11">
        <v>4.1828703703703701E-2</v>
      </c>
      <c r="AE130" s="4">
        <f t="shared" si="232"/>
        <v>96.999999999999375</v>
      </c>
      <c r="AF130" s="4">
        <f t="shared" si="255"/>
        <v>0</v>
      </c>
      <c r="AG130" s="4">
        <v>0</v>
      </c>
      <c r="AH130" s="4">
        <f t="shared" si="236"/>
        <v>0</v>
      </c>
    </row>
    <row r="131" spans="1:34" x14ac:dyDescent="0.25">
      <c r="A131" s="3" t="s">
        <v>181</v>
      </c>
      <c r="B131" s="9">
        <v>43458</v>
      </c>
      <c r="C131" s="3">
        <v>4</v>
      </c>
      <c r="D131" s="3" t="s">
        <v>182</v>
      </c>
      <c r="E131" s="8">
        <v>4.7129629629629632E-2</v>
      </c>
      <c r="F131" s="8">
        <v>4.8148148148148141E-2</v>
      </c>
      <c r="G131" s="6">
        <f t="shared" si="250"/>
        <v>87.999999999999162</v>
      </c>
      <c r="H131" s="2">
        <v>2</v>
      </c>
      <c r="I131" s="2">
        <v>1</v>
      </c>
      <c r="J131" s="2">
        <v>127</v>
      </c>
      <c r="K131" s="2">
        <v>0</v>
      </c>
      <c r="L131" s="10">
        <v>4.7129629629629632E-2</v>
      </c>
      <c r="M131" s="10">
        <v>4.8148148148148141E-2</v>
      </c>
      <c r="N131" s="2">
        <f t="shared" si="251"/>
        <v>87.999999999999162</v>
      </c>
      <c r="O131" s="2"/>
      <c r="P131" s="13">
        <f t="shared" si="252"/>
        <v>0</v>
      </c>
      <c r="Q131" s="2">
        <v>0</v>
      </c>
      <c r="R131" s="7">
        <f t="shared" si="187"/>
        <v>0</v>
      </c>
      <c r="S131" s="4"/>
      <c r="T131" s="4"/>
      <c r="U131" s="4"/>
      <c r="V131" s="4"/>
      <c r="W131" s="4"/>
      <c r="X131" s="4"/>
      <c r="Y131" s="4">
        <f t="shared" si="253"/>
        <v>0</v>
      </c>
      <c r="Z131" s="4">
        <f t="shared" si="254"/>
        <v>0</v>
      </c>
      <c r="AA131" s="4"/>
      <c r="AB131" s="4">
        <v>0</v>
      </c>
      <c r="AC131" s="11">
        <v>4.7129629629629632E-2</v>
      </c>
      <c r="AD131" s="11">
        <v>4.8148148148148141E-2</v>
      </c>
      <c r="AE131" s="4">
        <f t="shared" si="232"/>
        <v>87.999999999999162</v>
      </c>
      <c r="AF131" s="4">
        <f t="shared" si="255"/>
        <v>0</v>
      </c>
      <c r="AG131" s="4">
        <v>0</v>
      </c>
      <c r="AH131" s="4">
        <f t="shared" si="236"/>
        <v>0</v>
      </c>
    </row>
    <row r="132" spans="1:34" x14ac:dyDescent="0.25">
      <c r="A132" s="3" t="s">
        <v>183</v>
      </c>
      <c r="B132" s="9">
        <v>43458</v>
      </c>
      <c r="C132" s="3">
        <v>4</v>
      </c>
      <c r="D132" s="3" t="s">
        <v>184</v>
      </c>
      <c r="E132" s="8">
        <v>5.7719907407407407E-2</v>
      </c>
      <c r="F132" s="8">
        <v>6.025462962962963E-2</v>
      </c>
      <c r="G132" s="6">
        <f t="shared" si="250"/>
        <v>219.00000000000006</v>
      </c>
      <c r="H132" s="2">
        <v>2</v>
      </c>
      <c r="I132" s="2">
        <v>1</v>
      </c>
      <c r="J132" s="2">
        <v>125</v>
      </c>
      <c r="K132" s="2">
        <v>0</v>
      </c>
      <c r="L132" s="10">
        <v>5.7719907407407407E-2</v>
      </c>
      <c r="M132" s="10">
        <v>6.025462962962963E-2</v>
      </c>
      <c r="N132" s="2">
        <f t="shared" si="251"/>
        <v>219.00000000000006</v>
      </c>
      <c r="O132" s="2"/>
      <c r="P132" s="13">
        <f t="shared" si="252"/>
        <v>0</v>
      </c>
      <c r="Q132" s="2">
        <v>0</v>
      </c>
      <c r="R132" s="7">
        <f t="shared" si="187"/>
        <v>0</v>
      </c>
      <c r="S132" s="4">
        <v>46</v>
      </c>
      <c r="T132" s="4">
        <v>31</v>
      </c>
      <c r="U132" s="4">
        <v>1.91</v>
      </c>
      <c r="V132" s="4">
        <v>1.1499999999999999</v>
      </c>
      <c r="W132" s="4">
        <f t="shared" ref="W132" si="259">S132/U132</f>
        <v>24.083769633507856</v>
      </c>
      <c r="X132" s="4">
        <f t="shared" ref="X132" si="260">T132/V132</f>
        <v>26.956521739130437</v>
      </c>
      <c r="Y132" s="4">
        <f t="shared" si="253"/>
        <v>2.8727521056225811</v>
      </c>
      <c r="Z132" s="4">
        <f t="shared" si="254"/>
        <v>-15</v>
      </c>
      <c r="AA132" s="4">
        <f t="shared" ref="AA132" si="261">V132-U132</f>
        <v>-0.76</v>
      </c>
      <c r="AB132" s="4">
        <v>4</v>
      </c>
      <c r="AC132" s="11">
        <v>5.7719907407407407E-2</v>
      </c>
      <c r="AD132" s="11">
        <v>6.025462962962963E-2</v>
      </c>
      <c r="AE132" s="4">
        <f t="shared" si="232"/>
        <v>219.00000000000006</v>
      </c>
      <c r="AF132" s="4">
        <f t="shared" si="255"/>
        <v>0</v>
      </c>
      <c r="AG132" s="4">
        <v>0</v>
      </c>
      <c r="AH132" s="4">
        <f t="shared" si="236"/>
        <v>0</v>
      </c>
    </row>
    <row r="133" spans="1:34" x14ac:dyDescent="0.25">
      <c r="A133" s="3" t="s">
        <v>186</v>
      </c>
      <c r="B133" s="9">
        <v>43459</v>
      </c>
      <c r="C133" s="3">
        <v>1</v>
      </c>
      <c r="D133" s="3" t="s">
        <v>185</v>
      </c>
      <c r="E133" s="8">
        <v>0.2711574074074074</v>
      </c>
      <c r="F133" s="8">
        <v>0.27224537037037039</v>
      </c>
      <c r="G133" s="6">
        <f t="shared" si="250"/>
        <v>94.000000000001904</v>
      </c>
      <c r="H133" s="2">
        <v>2</v>
      </c>
      <c r="I133" s="2">
        <v>1</v>
      </c>
      <c r="J133" s="2">
        <v>122</v>
      </c>
      <c r="K133" s="2">
        <v>0</v>
      </c>
      <c r="L133" s="10">
        <v>0.2711574074074074</v>
      </c>
      <c r="M133" s="10">
        <v>0.27224537037037039</v>
      </c>
      <c r="N133" s="2">
        <f t="shared" si="251"/>
        <v>94.000000000001904</v>
      </c>
      <c r="O133" s="2"/>
      <c r="P133" s="13">
        <f t="shared" si="252"/>
        <v>0</v>
      </c>
      <c r="Q133" s="2">
        <v>0</v>
      </c>
      <c r="R133" s="7">
        <f t="shared" si="187"/>
        <v>0</v>
      </c>
      <c r="S133" s="4">
        <v>157</v>
      </c>
      <c r="T133" s="4">
        <v>168</v>
      </c>
      <c r="U133" s="4">
        <v>12.77</v>
      </c>
      <c r="V133" s="4">
        <v>10.63</v>
      </c>
      <c r="W133" s="4">
        <f t="shared" ref="W133" si="262">S133/U133</f>
        <v>12.294440093970243</v>
      </c>
      <c r="X133" s="4">
        <f t="shared" ref="X133" si="263">T133/V133</f>
        <v>15.804327375352774</v>
      </c>
      <c r="Y133" s="4">
        <f t="shared" si="253"/>
        <v>3.5098872813825306</v>
      </c>
      <c r="Z133" s="4">
        <f t="shared" si="254"/>
        <v>11</v>
      </c>
      <c r="AA133" s="4">
        <f t="shared" ref="AA133" si="264">V133-U133</f>
        <v>-2.1399999999999988</v>
      </c>
      <c r="AB133" s="4">
        <v>4</v>
      </c>
      <c r="AC133" s="11">
        <v>0.2711574074074074</v>
      </c>
      <c r="AD133" s="11">
        <v>0.27224537037037039</v>
      </c>
      <c r="AE133" s="4">
        <f t="shared" si="232"/>
        <v>94.000000000001904</v>
      </c>
      <c r="AF133" s="4">
        <f t="shared" si="255"/>
        <v>0</v>
      </c>
      <c r="AG133" s="4">
        <v>2</v>
      </c>
      <c r="AH133" s="4">
        <f t="shared" si="236"/>
        <v>3.3333333333333335</v>
      </c>
    </row>
    <row r="134" spans="1:34" x14ac:dyDescent="0.25">
      <c r="A134" s="3" t="s">
        <v>187</v>
      </c>
      <c r="B134" s="9">
        <v>43459</v>
      </c>
      <c r="C134" s="3">
        <v>1</v>
      </c>
      <c r="D134" s="3" t="s">
        <v>188</v>
      </c>
      <c r="E134" s="8">
        <v>0.2814814814814815</v>
      </c>
      <c r="F134" s="8">
        <v>0.28240740740740738</v>
      </c>
      <c r="G134" s="6">
        <f t="shared" si="250"/>
        <v>79.999999999996518</v>
      </c>
      <c r="H134" s="2">
        <v>2</v>
      </c>
      <c r="I134" s="2">
        <v>1</v>
      </c>
      <c r="J134" s="2">
        <v>119</v>
      </c>
      <c r="K134" s="2">
        <v>0</v>
      </c>
      <c r="L134" s="10">
        <v>0.2814814814814815</v>
      </c>
      <c r="M134" s="10">
        <v>0.28240740740740738</v>
      </c>
      <c r="N134" s="2">
        <f t="shared" si="251"/>
        <v>79.999999999996518</v>
      </c>
      <c r="O134" s="2"/>
      <c r="P134" s="13">
        <f t="shared" si="252"/>
        <v>0</v>
      </c>
      <c r="Q134" s="2">
        <v>0</v>
      </c>
      <c r="R134" s="7">
        <f t="shared" si="187"/>
        <v>0</v>
      </c>
      <c r="S134" s="4">
        <v>203</v>
      </c>
      <c r="T134" s="4">
        <v>175</v>
      </c>
      <c r="U134" s="4">
        <v>13.55</v>
      </c>
      <c r="V134" s="4">
        <v>11.44</v>
      </c>
      <c r="W134" s="4">
        <f t="shared" ref="W134:W139" si="265">S134/U134</f>
        <v>14.981549815498154</v>
      </c>
      <c r="X134" s="4">
        <f t="shared" ref="X134:X139" si="266">T134/V134</f>
        <v>15.297202797202798</v>
      </c>
      <c r="Y134" s="4">
        <f t="shared" si="253"/>
        <v>0.31565298170464473</v>
      </c>
      <c r="Z134" s="4">
        <f t="shared" si="254"/>
        <v>-28</v>
      </c>
      <c r="AA134" s="4">
        <f t="shared" ref="AA134:AA139" si="267">V134-U134</f>
        <v>-2.1100000000000012</v>
      </c>
      <c r="AB134" s="4">
        <v>4</v>
      </c>
      <c r="AC134" s="11">
        <v>0.2814814814814815</v>
      </c>
      <c r="AD134" s="11">
        <v>0.28240740740740738</v>
      </c>
      <c r="AE134" s="4">
        <f t="shared" si="232"/>
        <v>79.999999999996518</v>
      </c>
      <c r="AF134" s="4">
        <f t="shared" si="255"/>
        <v>0</v>
      </c>
      <c r="AG134" s="4">
        <v>1</v>
      </c>
      <c r="AH134" s="4">
        <f t="shared" si="236"/>
        <v>1.6666666666666667</v>
      </c>
    </row>
    <row r="135" spans="1:34" x14ac:dyDescent="0.25">
      <c r="A135" s="3" t="s">
        <v>187</v>
      </c>
      <c r="B135" s="9">
        <v>43459</v>
      </c>
      <c r="C135" s="3">
        <v>1</v>
      </c>
      <c r="D135" s="3" t="s">
        <v>189</v>
      </c>
      <c r="E135" s="8">
        <v>0.28420138888888885</v>
      </c>
      <c r="F135" s="8">
        <v>0.28512731481481485</v>
      </c>
      <c r="G135" s="6">
        <f t="shared" si="250"/>
        <v>80.000000000006111</v>
      </c>
      <c r="H135" s="2">
        <v>2</v>
      </c>
      <c r="I135" s="2">
        <v>1</v>
      </c>
      <c r="J135" s="2">
        <v>119</v>
      </c>
      <c r="K135" s="2">
        <v>0</v>
      </c>
      <c r="L135" s="10">
        <v>0.28420138888888885</v>
      </c>
      <c r="M135" s="10">
        <v>0.28512731481481485</v>
      </c>
      <c r="N135" s="2">
        <f t="shared" si="251"/>
        <v>80.000000000006111</v>
      </c>
      <c r="O135" s="2"/>
      <c r="P135" s="13">
        <f t="shared" si="252"/>
        <v>0</v>
      </c>
      <c r="Q135" s="2">
        <v>0</v>
      </c>
      <c r="R135" s="7">
        <f t="shared" si="187"/>
        <v>0</v>
      </c>
      <c r="S135" s="4">
        <v>151</v>
      </c>
      <c r="T135" s="4">
        <v>138</v>
      </c>
      <c r="U135" s="4">
        <v>11.9</v>
      </c>
      <c r="V135" s="4">
        <v>11.17</v>
      </c>
      <c r="W135" s="4">
        <f t="shared" si="265"/>
        <v>12.6890756302521</v>
      </c>
      <c r="X135" s="4">
        <f t="shared" si="266"/>
        <v>12.354521038495971</v>
      </c>
      <c r="Y135" s="4">
        <f t="shared" si="253"/>
        <v>-0.33455459175612923</v>
      </c>
      <c r="Z135" s="4">
        <f t="shared" si="254"/>
        <v>-13</v>
      </c>
      <c r="AA135" s="4">
        <f t="shared" si="267"/>
        <v>-0.73000000000000043</v>
      </c>
      <c r="AB135" s="4">
        <v>4</v>
      </c>
      <c r="AC135" s="11">
        <v>0.28420138888888885</v>
      </c>
      <c r="AD135" s="11">
        <v>0.28512731481481485</v>
      </c>
      <c r="AE135" s="4">
        <f t="shared" si="232"/>
        <v>80.000000000006111</v>
      </c>
      <c r="AF135" s="4">
        <f t="shared" si="255"/>
        <v>0</v>
      </c>
      <c r="AG135" s="4">
        <v>1</v>
      </c>
      <c r="AH135" s="4">
        <f t="shared" si="236"/>
        <v>1.6666666666666667</v>
      </c>
    </row>
    <row r="136" spans="1:34" x14ac:dyDescent="0.25">
      <c r="A136" s="3" t="s">
        <v>191</v>
      </c>
      <c r="B136" s="9">
        <v>43459</v>
      </c>
      <c r="C136" s="3">
        <v>1</v>
      </c>
      <c r="D136" s="3" t="s">
        <v>190</v>
      </c>
      <c r="E136" s="8">
        <v>0.28832175925925924</v>
      </c>
      <c r="F136" s="8">
        <v>0.28879629629629627</v>
      </c>
      <c r="G136" s="6">
        <f t="shared" si="250"/>
        <v>41.000000000000014</v>
      </c>
      <c r="H136" s="2">
        <v>2</v>
      </c>
      <c r="I136" s="2">
        <v>1</v>
      </c>
      <c r="J136" s="2">
        <v>121</v>
      </c>
      <c r="K136" s="2">
        <v>0</v>
      </c>
      <c r="L136" s="10">
        <v>0.28832175925925924</v>
      </c>
      <c r="M136" s="10">
        <v>0.28879629629629627</v>
      </c>
      <c r="N136" s="2">
        <f t="shared" si="251"/>
        <v>41.000000000000014</v>
      </c>
      <c r="O136" s="2"/>
      <c r="P136" s="13">
        <f t="shared" si="252"/>
        <v>0</v>
      </c>
      <c r="Q136" s="2">
        <v>0</v>
      </c>
      <c r="R136" s="7">
        <f t="shared" si="187"/>
        <v>0</v>
      </c>
      <c r="S136" s="4">
        <v>213</v>
      </c>
      <c r="T136" s="4">
        <v>142</v>
      </c>
      <c r="U136" s="4">
        <v>12.38</v>
      </c>
      <c r="V136" s="4">
        <v>9.59</v>
      </c>
      <c r="W136" s="4">
        <f t="shared" si="265"/>
        <v>17.205169628432955</v>
      </c>
      <c r="X136" s="4">
        <f t="shared" si="266"/>
        <v>14.807090719499479</v>
      </c>
      <c r="Y136" s="4">
        <f t="shared" si="253"/>
        <v>-2.398078908933476</v>
      </c>
      <c r="Z136" s="4">
        <f t="shared" si="254"/>
        <v>-71</v>
      </c>
      <c r="AA136" s="4">
        <f t="shared" si="267"/>
        <v>-2.7900000000000009</v>
      </c>
      <c r="AB136" s="4">
        <v>4</v>
      </c>
      <c r="AC136" s="11">
        <v>0.28832175925925924</v>
      </c>
      <c r="AD136" s="11">
        <v>0.28879629629629627</v>
      </c>
      <c r="AE136" s="4">
        <f t="shared" si="232"/>
        <v>41.000000000000014</v>
      </c>
      <c r="AF136" s="4">
        <f t="shared" si="255"/>
        <v>0</v>
      </c>
      <c r="AG136" s="4">
        <v>1</v>
      </c>
      <c r="AH136" s="4">
        <f t="shared" si="236"/>
        <v>1.6666666666666667</v>
      </c>
    </row>
    <row r="137" spans="1:34" x14ac:dyDescent="0.25">
      <c r="A137" s="3" t="s">
        <v>192</v>
      </c>
      <c r="B137" s="9">
        <v>43459</v>
      </c>
      <c r="C137" s="3">
        <v>1</v>
      </c>
      <c r="D137" s="3" t="s">
        <v>193</v>
      </c>
      <c r="E137" s="8">
        <v>0.30138888888888887</v>
      </c>
      <c r="F137" s="8">
        <v>0.30285879629629631</v>
      </c>
      <c r="G137" s="6">
        <f t="shared" si="250"/>
        <v>127.00000000000227</v>
      </c>
      <c r="H137" s="2">
        <v>2</v>
      </c>
      <c r="I137" s="2">
        <v>1</v>
      </c>
      <c r="J137" s="2">
        <v>121</v>
      </c>
      <c r="K137" s="2">
        <v>0</v>
      </c>
      <c r="L137" s="10">
        <v>0.30138888888888887</v>
      </c>
      <c r="M137" s="10">
        <v>0.30285879629629631</v>
      </c>
      <c r="N137" s="2">
        <f t="shared" si="251"/>
        <v>127.00000000000227</v>
      </c>
      <c r="O137" s="2"/>
      <c r="P137" s="13">
        <f t="shared" si="252"/>
        <v>0</v>
      </c>
      <c r="Q137" s="2">
        <v>0</v>
      </c>
      <c r="R137" s="7">
        <f t="shared" si="187"/>
        <v>0</v>
      </c>
      <c r="S137" s="4">
        <v>235</v>
      </c>
      <c r="T137" s="4">
        <v>267</v>
      </c>
      <c r="U137" s="4">
        <v>12.06</v>
      </c>
      <c r="V137" s="4">
        <v>12.88</v>
      </c>
      <c r="W137" s="4">
        <f t="shared" si="265"/>
        <v>19.485903814262024</v>
      </c>
      <c r="X137" s="4">
        <f t="shared" si="266"/>
        <v>20.729813664596271</v>
      </c>
      <c r="Y137" s="4">
        <f t="shared" si="253"/>
        <v>1.2439098503342478</v>
      </c>
      <c r="Z137" s="4">
        <f t="shared" si="254"/>
        <v>32</v>
      </c>
      <c r="AA137" s="4">
        <f t="shared" si="267"/>
        <v>0.82000000000000028</v>
      </c>
      <c r="AB137" s="4">
        <v>4</v>
      </c>
      <c r="AC137" s="11">
        <v>0.30138888888888887</v>
      </c>
      <c r="AD137" s="11">
        <v>0.30285879629629631</v>
      </c>
      <c r="AE137" s="4">
        <f t="shared" si="232"/>
        <v>127.00000000000227</v>
      </c>
      <c r="AF137" s="4">
        <f t="shared" si="255"/>
        <v>0</v>
      </c>
      <c r="AG137" s="4">
        <v>1</v>
      </c>
      <c r="AH137" s="4">
        <f t="shared" si="236"/>
        <v>1.6666666666666667</v>
      </c>
    </row>
    <row r="138" spans="1:34" x14ac:dyDescent="0.25">
      <c r="A138" s="3" t="s">
        <v>194</v>
      </c>
      <c r="B138" s="9">
        <v>43459</v>
      </c>
      <c r="C138" s="3">
        <v>1</v>
      </c>
      <c r="D138" s="3" t="s">
        <v>195</v>
      </c>
      <c r="E138" s="8">
        <v>0.30927083333333333</v>
      </c>
      <c r="F138" s="8">
        <v>0.30973379629629633</v>
      </c>
      <c r="G138" s="6">
        <f t="shared" si="250"/>
        <v>40.000000000003055</v>
      </c>
      <c r="H138" s="2">
        <v>2</v>
      </c>
      <c r="I138" s="2">
        <v>1</v>
      </c>
      <c r="J138" s="2">
        <v>128</v>
      </c>
      <c r="K138" s="2">
        <v>0</v>
      </c>
      <c r="L138" s="10">
        <v>0.30927083333333333</v>
      </c>
      <c r="M138" s="10">
        <v>0.30949074074074073</v>
      </c>
      <c r="N138" s="2">
        <f t="shared" si="251"/>
        <v>18.999999999999773</v>
      </c>
      <c r="O138" s="2">
        <v>1</v>
      </c>
      <c r="P138" s="13">
        <f>(L139-E138)*86400</f>
        <v>18.999999999999773</v>
      </c>
      <c r="Q138" s="2">
        <v>1</v>
      </c>
      <c r="R138" s="7">
        <f t="shared" si="187"/>
        <v>1.6666666666666667</v>
      </c>
      <c r="S138" s="4">
        <v>374</v>
      </c>
      <c r="T138" s="4">
        <v>434</v>
      </c>
      <c r="U138" s="4">
        <v>12.54</v>
      </c>
      <c r="V138" s="4">
        <v>13.12</v>
      </c>
      <c r="W138" s="4">
        <f t="shared" si="265"/>
        <v>29.824561403508774</v>
      </c>
      <c r="X138" s="4">
        <f t="shared" si="266"/>
        <v>33.079268292682926</v>
      </c>
      <c r="Y138" s="4">
        <f t="shared" si="253"/>
        <v>3.2547068891741517</v>
      </c>
      <c r="Z138" s="4">
        <f t="shared" si="254"/>
        <v>60</v>
      </c>
      <c r="AA138" s="4">
        <f t="shared" si="267"/>
        <v>0.58000000000000007</v>
      </c>
      <c r="AB138" s="4">
        <v>4</v>
      </c>
      <c r="AC138" s="11">
        <v>0.30927083333333333</v>
      </c>
      <c r="AD138" s="11">
        <v>0.30949074074074073</v>
      </c>
      <c r="AE138" s="4">
        <f t="shared" si="232"/>
        <v>18.999999999999773</v>
      </c>
      <c r="AF138" s="4">
        <f>(AD139-M139)*86400</f>
        <v>18.999999999999773</v>
      </c>
      <c r="AG138" s="4">
        <v>3</v>
      </c>
      <c r="AH138" s="4">
        <f t="shared" si="236"/>
        <v>5</v>
      </c>
    </row>
    <row r="139" spans="1:34" x14ac:dyDescent="0.25">
      <c r="A139" s="3"/>
      <c r="B139" s="9">
        <v>43459</v>
      </c>
      <c r="C139" s="3">
        <v>1</v>
      </c>
      <c r="D139" s="3"/>
      <c r="E139" s="8"/>
      <c r="F139" s="8"/>
      <c r="G139" s="6">
        <f t="shared" si="250"/>
        <v>0</v>
      </c>
      <c r="H139" s="2">
        <v>2</v>
      </c>
      <c r="I139" s="2"/>
      <c r="J139" s="2"/>
      <c r="K139" s="2">
        <v>1</v>
      </c>
      <c r="L139" s="10">
        <v>0.30949074074074073</v>
      </c>
      <c r="M139" s="10">
        <v>0.30951388888888892</v>
      </c>
      <c r="N139" s="2">
        <f t="shared" si="251"/>
        <v>2.0000000000035101</v>
      </c>
      <c r="O139" s="2"/>
      <c r="P139" s="2"/>
      <c r="Q139" s="2"/>
      <c r="R139" s="7"/>
      <c r="S139" s="4">
        <v>297</v>
      </c>
      <c r="T139" s="4">
        <v>141</v>
      </c>
      <c r="U139" s="4">
        <v>9</v>
      </c>
      <c r="V139" s="4">
        <v>5.27</v>
      </c>
      <c r="W139" s="4">
        <f t="shared" si="265"/>
        <v>33</v>
      </c>
      <c r="X139" s="4">
        <f t="shared" si="266"/>
        <v>26.755218216318788</v>
      </c>
      <c r="Y139" s="4">
        <f t="shared" si="253"/>
        <v>-6.2447817836812121</v>
      </c>
      <c r="Z139" s="4"/>
      <c r="AA139" s="4">
        <f t="shared" si="267"/>
        <v>-3.7300000000000004</v>
      </c>
      <c r="AB139" s="4">
        <v>3</v>
      </c>
      <c r="AC139" s="11">
        <v>0.30949074074074073</v>
      </c>
      <c r="AD139" s="11">
        <v>0.30973379629629633</v>
      </c>
      <c r="AE139" s="4">
        <f t="shared" si="232"/>
        <v>21.000000000003283</v>
      </c>
      <c r="AF139" s="4"/>
      <c r="AG139" s="4"/>
      <c r="AH139" s="4"/>
    </row>
    <row r="140" spans="1:34" x14ac:dyDescent="0.25">
      <c r="A140" s="3" t="s">
        <v>196</v>
      </c>
      <c r="B140" s="9">
        <v>43459</v>
      </c>
      <c r="C140" s="3">
        <v>1</v>
      </c>
      <c r="D140" s="3" t="s">
        <v>197</v>
      </c>
      <c r="E140" s="8">
        <v>0.31260416666666663</v>
      </c>
      <c r="F140" s="8">
        <v>0.31662037037037033</v>
      </c>
      <c r="G140" s="6">
        <f t="shared" si="250"/>
        <v>346.99999999999989</v>
      </c>
      <c r="H140" s="2">
        <v>2</v>
      </c>
      <c r="I140" s="2">
        <v>2</v>
      </c>
      <c r="J140" s="2">
        <v>102</v>
      </c>
      <c r="K140" s="2">
        <v>0</v>
      </c>
      <c r="L140" s="10">
        <v>0.31260416666666663</v>
      </c>
      <c r="M140" s="10">
        <v>0.31287037037037035</v>
      </c>
      <c r="N140" s="2">
        <f t="shared" si="251"/>
        <v>23.000000000001997</v>
      </c>
      <c r="O140" s="2">
        <v>1</v>
      </c>
      <c r="P140" s="13">
        <f>(L141-E140)*86400</f>
        <v>23.000000000001997</v>
      </c>
      <c r="Q140" s="2">
        <v>1</v>
      </c>
      <c r="R140" s="7">
        <f t="shared" si="187"/>
        <v>1.6666666666666667</v>
      </c>
      <c r="S140" s="4">
        <v>529</v>
      </c>
      <c r="T140" s="4">
        <v>386</v>
      </c>
      <c r="U140" s="4">
        <v>14.32</v>
      </c>
      <c r="V140" s="4">
        <v>11.97</v>
      </c>
      <c r="W140" s="4">
        <f t="shared" ref="W140" si="268">S140/U140</f>
        <v>36.941340782122907</v>
      </c>
      <c r="X140" s="4">
        <f t="shared" ref="X140" si="269">T140/V140</f>
        <v>32.247284878863823</v>
      </c>
      <c r="Y140" s="4">
        <f>X140-W140</f>
        <v>-4.6940559032590841</v>
      </c>
      <c r="Z140" s="4">
        <f>T140-S140</f>
        <v>-143</v>
      </c>
      <c r="AA140" s="4">
        <f t="shared" ref="AA140" si="270">V140-U140</f>
        <v>-2.3499999999999996</v>
      </c>
      <c r="AB140" s="4">
        <v>4</v>
      </c>
      <c r="AC140" s="11">
        <v>0.31260416666666663</v>
      </c>
      <c r="AD140" s="11">
        <v>0.31287037037037035</v>
      </c>
      <c r="AE140" s="4">
        <f t="shared" si="232"/>
        <v>23.000000000001997</v>
      </c>
      <c r="AF140" s="4">
        <f>(AD142-M142)*86400</f>
        <v>59.999999999994991</v>
      </c>
      <c r="AG140" s="4">
        <v>2</v>
      </c>
      <c r="AH140" s="4">
        <f t="shared" si="236"/>
        <v>3.3333333333333335</v>
      </c>
    </row>
    <row r="141" spans="1:34" x14ac:dyDescent="0.25">
      <c r="A141" s="3"/>
      <c r="B141" s="9">
        <v>43459</v>
      </c>
      <c r="C141" s="3">
        <v>1</v>
      </c>
      <c r="D141" s="3"/>
      <c r="E141" s="8"/>
      <c r="F141" s="8"/>
      <c r="G141" s="6">
        <f t="shared" si="250"/>
        <v>0</v>
      </c>
      <c r="H141" s="2">
        <v>2</v>
      </c>
      <c r="I141" s="2"/>
      <c r="J141" s="2"/>
      <c r="K141" s="2">
        <v>1</v>
      </c>
      <c r="L141" s="10">
        <v>0.31287037037037035</v>
      </c>
      <c r="M141" s="10">
        <v>0.31289351851851849</v>
      </c>
      <c r="N141" s="2">
        <f t="shared" si="251"/>
        <v>1.9999999999987139</v>
      </c>
      <c r="O141" s="2"/>
      <c r="P141" s="2"/>
      <c r="Q141" s="2"/>
      <c r="R141" s="7"/>
      <c r="S141" s="4"/>
      <c r="T141" s="4"/>
      <c r="U141" s="4"/>
      <c r="V141" s="4"/>
      <c r="W141" s="4"/>
      <c r="X141" s="4"/>
      <c r="Y141" s="4"/>
      <c r="Z141" s="4"/>
      <c r="AA141" s="4"/>
      <c r="AB141" s="4">
        <v>3</v>
      </c>
      <c r="AC141" s="11">
        <v>0.31287037037037035</v>
      </c>
      <c r="AD141" s="11">
        <v>0.31304398148148149</v>
      </c>
      <c r="AE141" s="4">
        <f t="shared" si="232"/>
        <v>15.000000000002345</v>
      </c>
      <c r="AF141" s="4"/>
      <c r="AG141" s="4">
        <v>3</v>
      </c>
      <c r="AH141" s="4">
        <f t="shared" si="236"/>
        <v>5</v>
      </c>
    </row>
    <row r="142" spans="1:34" x14ac:dyDescent="0.25">
      <c r="A142" s="3"/>
      <c r="B142" s="9">
        <v>43459</v>
      </c>
      <c r="C142" s="3">
        <v>1</v>
      </c>
      <c r="D142" s="3"/>
      <c r="E142" s="8"/>
      <c r="F142" s="8"/>
      <c r="G142" s="6">
        <f t="shared" si="250"/>
        <v>0</v>
      </c>
      <c r="H142" s="2">
        <v>2</v>
      </c>
      <c r="I142" s="2"/>
      <c r="J142" s="2"/>
      <c r="K142" s="2">
        <v>0</v>
      </c>
      <c r="L142" s="10">
        <v>0.31304398148148149</v>
      </c>
      <c r="M142" s="10">
        <v>0.31592592592592594</v>
      </c>
      <c r="N142" s="2">
        <f t="shared" si="251"/>
        <v>249.00000000000057</v>
      </c>
      <c r="O142" s="2"/>
      <c r="P142" s="2"/>
      <c r="Q142" s="2"/>
      <c r="R142" s="7"/>
      <c r="S142" s="4"/>
      <c r="T142" s="4"/>
      <c r="U142" s="4"/>
      <c r="V142" s="4"/>
      <c r="W142" s="4"/>
      <c r="X142" s="4"/>
      <c r="Y142" s="4"/>
      <c r="Z142" s="4"/>
      <c r="AA142" s="4"/>
      <c r="AB142" s="4">
        <v>4</v>
      </c>
      <c r="AC142" s="11">
        <v>0.31304398148148149</v>
      </c>
      <c r="AD142" s="11">
        <v>0.31662037037037033</v>
      </c>
      <c r="AE142" s="4">
        <f t="shared" si="232"/>
        <v>308.99999999999557</v>
      </c>
      <c r="AF142" s="4"/>
      <c r="AG142" s="4"/>
      <c r="AH142" s="4"/>
    </row>
    <row r="143" spans="1:34" x14ac:dyDescent="0.25">
      <c r="A143" s="3" t="s">
        <v>196</v>
      </c>
      <c r="B143" s="9">
        <v>43459</v>
      </c>
      <c r="C143" s="3">
        <v>1</v>
      </c>
      <c r="D143" s="3" t="s">
        <v>198</v>
      </c>
      <c r="E143" s="8">
        <v>0.31381944444444443</v>
      </c>
      <c r="F143" s="8">
        <v>0.31662037037037033</v>
      </c>
      <c r="G143" s="6">
        <f t="shared" si="250"/>
        <v>241.99999999999787</v>
      </c>
      <c r="H143" s="2">
        <v>2</v>
      </c>
      <c r="I143" s="2">
        <v>2</v>
      </c>
      <c r="J143" s="2">
        <v>115</v>
      </c>
      <c r="K143" s="2">
        <v>0</v>
      </c>
      <c r="L143" s="10">
        <v>0.31381944444444443</v>
      </c>
      <c r="M143" s="10">
        <v>0.31662037037037033</v>
      </c>
      <c r="N143" s="2">
        <f t="shared" si="251"/>
        <v>241.99999999999787</v>
      </c>
      <c r="O143" s="2"/>
      <c r="P143" s="13">
        <f t="shared" ref="P143:P144" si="271">(L143-E143)*86400</f>
        <v>0</v>
      </c>
      <c r="Q143" s="2">
        <v>0</v>
      </c>
      <c r="R143" s="7">
        <f t="shared" si="187"/>
        <v>0</v>
      </c>
      <c r="S143" s="4"/>
      <c r="T143" s="4"/>
      <c r="U143" s="4"/>
      <c r="V143" s="4"/>
      <c r="W143" s="4"/>
      <c r="X143" s="4"/>
      <c r="Y143" s="4">
        <f t="shared" ref="Y143:Y145" si="272">X143-W143</f>
        <v>0</v>
      </c>
      <c r="Z143" s="4">
        <f t="shared" ref="Z143:Z145" si="273">T143-S143</f>
        <v>0</v>
      </c>
      <c r="AA143" s="4"/>
      <c r="AB143" s="4">
        <v>4</v>
      </c>
      <c r="AC143" s="11">
        <v>0.31381944444444443</v>
      </c>
      <c r="AD143" s="11">
        <v>0.31662037037037033</v>
      </c>
      <c r="AE143" s="4">
        <f t="shared" si="232"/>
        <v>241.99999999999787</v>
      </c>
      <c r="AF143" s="4">
        <f>(AD143-M143)*86400</f>
        <v>0</v>
      </c>
      <c r="AG143" s="4"/>
      <c r="AH143" s="4"/>
    </row>
    <row r="144" spans="1:34" x14ac:dyDescent="0.25">
      <c r="A144" s="3" t="s">
        <v>199</v>
      </c>
      <c r="B144" s="9">
        <v>43459</v>
      </c>
      <c r="C144" s="3">
        <v>1</v>
      </c>
      <c r="D144" s="3" t="s">
        <v>200</v>
      </c>
      <c r="E144" s="8">
        <v>0.32500000000000001</v>
      </c>
      <c r="F144" s="8">
        <v>0.32621527777777776</v>
      </c>
      <c r="G144" s="6">
        <f t="shared" si="250"/>
        <v>104.99999999999723</v>
      </c>
      <c r="H144" s="2">
        <v>2</v>
      </c>
      <c r="I144" s="2">
        <v>1</v>
      </c>
      <c r="J144" s="2">
        <v>123</v>
      </c>
      <c r="K144" s="2">
        <v>0</v>
      </c>
      <c r="L144" s="10">
        <v>0.32500000000000001</v>
      </c>
      <c r="M144" s="10">
        <v>0.32621527777777776</v>
      </c>
      <c r="N144" s="2">
        <f t="shared" si="251"/>
        <v>104.99999999999723</v>
      </c>
      <c r="O144" s="2"/>
      <c r="P144" s="13">
        <f t="shared" si="271"/>
        <v>0</v>
      </c>
      <c r="Q144" s="2">
        <v>0</v>
      </c>
      <c r="R144" s="7">
        <f t="shared" si="187"/>
        <v>0</v>
      </c>
      <c r="S144" s="4">
        <v>418</v>
      </c>
      <c r="T144" s="4">
        <v>372</v>
      </c>
      <c r="U144" s="4">
        <v>13.94</v>
      </c>
      <c r="V144" s="4">
        <v>10.9</v>
      </c>
      <c r="W144" s="4">
        <f t="shared" ref="W144" si="274">S144/U144</f>
        <v>29.98565279770445</v>
      </c>
      <c r="X144" s="4">
        <f t="shared" ref="X144" si="275">T144/V144</f>
        <v>34.128440366972477</v>
      </c>
      <c r="Y144" s="4">
        <f t="shared" si="272"/>
        <v>4.1427875692680267</v>
      </c>
      <c r="Z144" s="4">
        <f t="shared" si="273"/>
        <v>-46</v>
      </c>
      <c r="AA144" s="4">
        <f t="shared" ref="AA144" si="276">V144-U144</f>
        <v>-3.0399999999999991</v>
      </c>
      <c r="AB144" s="4">
        <v>4</v>
      </c>
      <c r="AC144" s="11">
        <v>0.32500000000000001</v>
      </c>
      <c r="AD144" s="11">
        <v>0.32621527777777776</v>
      </c>
      <c r="AE144" s="4">
        <f t="shared" si="232"/>
        <v>104.99999999999723</v>
      </c>
      <c r="AF144" s="4">
        <f>(AD144-M144)*86400</f>
        <v>0</v>
      </c>
      <c r="AG144" s="4">
        <v>2</v>
      </c>
      <c r="AH144" s="4">
        <f t="shared" si="236"/>
        <v>3.3333333333333335</v>
      </c>
    </row>
    <row r="145" spans="1:34" x14ac:dyDescent="0.25">
      <c r="A145" s="3" t="s">
        <v>201</v>
      </c>
      <c r="B145" s="9">
        <v>43459</v>
      </c>
      <c r="C145" s="3">
        <v>1</v>
      </c>
      <c r="D145" s="3" t="s">
        <v>202</v>
      </c>
      <c r="E145" s="8">
        <v>0.32859953703703704</v>
      </c>
      <c r="F145" s="8">
        <v>0.33288194444444447</v>
      </c>
      <c r="G145" s="6">
        <f t="shared" si="250"/>
        <v>370.00000000000188</v>
      </c>
      <c r="H145" s="2">
        <v>2</v>
      </c>
      <c r="I145" s="2">
        <v>2</v>
      </c>
      <c r="J145" s="2">
        <v>115</v>
      </c>
      <c r="K145" s="2">
        <v>0</v>
      </c>
      <c r="L145" s="10">
        <v>0.32859953703703704</v>
      </c>
      <c r="M145" s="10">
        <v>0.33064814814814814</v>
      </c>
      <c r="N145" s="2">
        <f t="shared" si="251"/>
        <v>176.99999999999889</v>
      </c>
      <c r="O145" s="2">
        <v>1</v>
      </c>
      <c r="P145" s="13">
        <f>(L146-E145)*86400</f>
        <v>176.99999999999889</v>
      </c>
      <c r="Q145" s="2">
        <v>1</v>
      </c>
      <c r="R145" s="7">
        <f t="shared" si="187"/>
        <v>1.6666666666666667</v>
      </c>
      <c r="S145" s="4">
        <v>507</v>
      </c>
      <c r="T145" s="4">
        <v>524</v>
      </c>
      <c r="U145" s="4">
        <v>14.76</v>
      </c>
      <c r="V145" s="4">
        <v>14.121</v>
      </c>
      <c r="W145" s="4">
        <f t="shared" ref="W145" si="277">S145/U145</f>
        <v>34.349593495934961</v>
      </c>
      <c r="X145" s="4">
        <f t="shared" ref="X145" si="278">T145/V145</f>
        <v>37.107853551448194</v>
      </c>
      <c r="Y145" s="4">
        <f t="shared" si="272"/>
        <v>2.7582600555132331</v>
      </c>
      <c r="Z145" s="4">
        <f t="shared" si="273"/>
        <v>17</v>
      </c>
      <c r="AA145" s="4">
        <f t="shared" ref="AA145" si="279">V145-U145</f>
        <v>-0.63899999999999935</v>
      </c>
      <c r="AB145" s="4">
        <v>4</v>
      </c>
      <c r="AC145" s="11">
        <v>0.32859953703703704</v>
      </c>
      <c r="AD145" s="11">
        <v>0.33064814814814814</v>
      </c>
      <c r="AE145" s="4">
        <f t="shared" si="232"/>
        <v>176.99999999999889</v>
      </c>
      <c r="AF145" s="4">
        <f>(AD147-M147)*86400</f>
        <v>0</v>
      </c>
      <c r="AG145" s="4">
        <v>5</v>
      </c>
      <c r="AH145" s="4">
        <f t="shared" si="236"/>
        <v>8.3333333333333339</v>
      </c>
    </row>
    <row r="146" spans="1:34" x14ac:dyDescent="0.25">
      <c r="A146" s="3"/>
      <c r="B146" s="9">
        <v>43459</v>
      </c>
      <c r="C146" s="3">
        <v>1</v>
      </c>
      <c r="D146" s="3"/>
      <c r="E146" s="8"/>
      <c r="F146" s="8"/>
      <c r="G146" s="6">
        <f t="shared" si="250"/>
        <v>0</v>
      </c>
      <c r="H146" s="2">
        <v>2</v>
      </c>
      <c r="I146" s="2"/>
      <c r="J146" s="2"/>
      <c r="K146" s="2">
        <v>1</v>
      </c>
      <c r="L146" s="10">
        <v>0.33064814814814814</v>
      </c>
      <c r="M146" s="10">
        <v>0.33067129629629627</v>
      </c>
      <c r="N146" s="2">
        <f t="shared" si="251"/>
        <v>1.9999999999987139</v>
      </c>
      <c r="O146" s="2"/>
      <c r="P146" s="2"/>
      <c r="Q146" s="2"/>
      <c r="R146" s="7"/>
      <c r="S146" s="4"/>
      <c r="T146" s="4"/>
      <c r="U146" s="4"/>
      <c r="V146" s="4"/>
      <c r="W146" s="4"/>
      <c r="X146" s="4"/>
      <c r="Y146" s="4"/>
      <c r="Z146" s="4"/>
      <c r="AA146" s="4"/>
      <c r="AB146" s="4">
        <v>3</v>
      </c>
      <c r="AC146" s="11">
        <v>0.33064814814814814</v>
      </c>
      <c r="AD146" s="11">
        <v>0.33089120370370367</v>
      </c>
      <c r="AE146" s="4">
        <f t="shared" si="232"/>
        <v>20.999999999998487</v>
      </c>
      <c r="AF146" s="4"/>
      <c r="AG146" s="4"/>
      <c r="AH146" s="4"/>
    </row>
    <row r="147" spans="1:34" x14ac:dyDescent="0.25">
      <c r="A147" s="3"/>
      <c r="B147" s="9">
        <v>43459</v>
      </c>
      <c r="C147" s="3">
        <v>1</v>
      </c>
      <c r="D147" s="3"/>
      <c r="E147" s="8"/>
      <c r="F147" s="8"/>
      <c r="G147" s="6">
        <f t="shared" si="250"/>
        <v>0</v>
      </c>
      <c r="H147" s="2">
        <v>2</v>
      </c>
      <c r="I147" s="2"/>
      <c r="J147" s="2"/>
      <c r="K147" s="2">
        <v>0</v>
      </c>
      <c r="L147" s="10">
        <v>0.33089120370370367</v>
      </c>
      <c r="M147" s="10">
        <v>0.33288194444444447</v>
      </c>
      <c r="N147" s="2">
        <f t="shared" si="251"/>
        <v>172.00000000000449</v>
      </c>
      <c r="O147" s="2"/>
      <c r="P147" s="2"/>
      <c r="Q147" s="2"/>
      <c r="R147" s="7"/>
      <c r="S147" s="4"/>
      <c r="T147" s="4"/>
      <c r="U147" s="4"/>
      <c r="V147" s="4"/>
      <c r="W147" s="4"/>
      <c r="X147" s="4"/>
      <c r="Y147" s="4"/>
      <c r="Z147" s="4"/>
      <c r="AA147" s="4"/>
      <c r="AB147" s="4">
        <v>6</v>
      </c>
      <c r="AC147" s="11">
        <v>0.33089120370370367</v>
      </c>
      <c r="AD147" s="11">
        <v>0.33288194444444447</v>
      </c>
      <c r="AE147" s="4">
        <f t="shared" si="232"/>
        <v>172.00000000000449</v>
      </c>
      <c r="AF147" s="4"/>
      <c r="AG147" s="4"/>
      <c r="AH147" s="4"/>
    </row>
    <row r="148" spans="1:34" x14ac:dyDescent="0.25">
      <c r="A148" s="3" t="s">
        <v>201</v>
      </c>
      <c r="B148" s="9">
        <v>43459</v>
      </c>
      <c r="C148" s="3">
        <v>1</v>
      </c>
      <c r="D148" s="3" t="s">
        <v>203</v>
      </c>
      <c r="E148" s="8">
        <v>0.33135416666666667</v>
      </c>
      <c r="F148" s="8">
        <v>0.33288194444444447</v>
      </c>
      <c r="G148" s="6">
        <f t="shared" si="250"/>
        <v>132.00000000000145</v>
      </c>
      <c r="H148" s="2">
        <v>2</v>
      </c>
      <c r="I148" s="2">
        <v>2</v>
      </c>
      <c r="J148" s="2">
        <v>123</v>
      </c>
      <c r="K148" s="2">
        <v>0</v>
      </c>
      <c r="L148" s="10">
        <v>0.33135416666666667</v>
      </c>
      <c r="M148" s="10">
        <v>0.33288194444444447</v>
      </c>
      <c r="N148" s="2">
        <f t="shared" si="251"/>
        <v>132.00000000000145</v>
      </c>
      <c r="O148" s="2"/>
      <c r="P148" s="13">
        <f t="shared" ref="P148:P151" si="280">(L148-E148)*86400</f>
        <v>0</v>
      </c>
      <c r="Q148" s="2">
        <v>0</v>
      </c>
      <c r="R148" s="7">
        <f t="shared" si="187"/>
        <v>0</v>
      </c>
      <c r="S148" s="4"/>
      <c r="T148" s="4"/>
      <c r="U148" s="4"/>
      <c r="V148" s="4"/>
      <c r="W148" s="4"/>
      <c r="X148" s="4"/>
      <c r="Y148" s="4">
        <f t="shared" ref="Y148:Y151" si="281">X148-W148</f>
        <v>0</v>
      </c>
      <c r="Z148" s="4">
        <f t="shared" ref="Z148:Z151" si="282">T148-S148</f>
        <v>0</v>
      </c>
      <c r="AA148" s="4"/>
      <c r="AB148" s="4">
        <v>4</v>
      </c>
      <c r="AC148" s="11">
        <v>0.33135416666666667</v>
      </c>
      <c r="AD148" s="11">
        <v>0.33288194444444447</v>
      </c>
      <c r="AE148" s="4">
        <f t="shared" si="232"/>
        <v>132.00000000000145</v>
      </c>
      <c r="AF148" s="4">
        <f>(AD148-M148)*86400</f>
        <v>0</v>
      </c>
      <c r="AG148" s="4">
        <v>1</v>
      </c>
      <c r="AH148" s="4">
        <f t="shared" si="236"/>
        <v>1.6666666666666667</v>
      </c>
    </row>
    <row r="149" spans="1:34" x14ac:dyDescent="0.25">
      <c r="A149" s="3" t="s">
        <v>204</v>
      </c>
      <c r="B149" s="9">
        <v>43459</v>
      </c>
      <c r="C149" s="3">
        <v>1</v>
      </c>
      <c r="D149" s="3" t="s">
        <v>205</v>
      </c>
      <c r="E149" s="8">
        <v>0.33364583333333336</v>
      </c>
      <c r="F149" s="8">
        <v>0.3369328703703704</v>
      </c>
      <c r="G149" s="6">
        <f t="shared" si="250"/>
        <v>283.99999999999966</v>
      </c>
      <c r="H149" s="2">
        <v>2</v>
      </c>
      <c r="I149" s="2">
        <v>1</v>
      </c>
      <c r="J149" s="2">
        <v>107</v>
      </c>
      <c r="K149" s="2">
        <v>0</v>
      </c>
      <c r="L149" s="10">
        <v>0.33364583333333336</v>
      </c>
      <c r="M149" s="10">
        <v>0.3369328703703704</v>
      </c>
      <c r="N149" s="2">
        <f t="shared" si="251"/>
        <v>283.99999999999966</v>
      </c>
      <c r="O149" s="2"/>
      <c r="P149" s="13">
        <f t="shared" si="280"/>
        <v>0</v>
      </c>
      <c r="Q149" s="2">
        <v>0</v>
      </c>
      <c r="R149" s="7">
        <f t="shared" si="187"/>
        <v>0</v>
      </c>
      <c r="S149" s="4">
        <v>434</v>
      </c>
      <c r="T149" s="4">
        <v>380</v>
      </c>
      <c r="U149" s="4">
        <v>13.24</v>
      </c>
      <c r="V149" s="4">
        <v>12.96</v>
      </c>
      <c r="W149" s="4">
        <f t="shared" ref="W149" si="283">S149/U149</f>
        <v>32.779456193353475</v>
      </c>
      <c r="X149" s="4">
        <f t="shared" ref="X149" si="284">T149/V149</f>
        <v>29.320987654320987</v>
      </c>
      <c r="Y149" s="4">
        <f t="shared" si="281"/>
        <v>-3.4584685390324879</v>
      </c>
      <c r="Z149" s="4">
        <f t="shared" si="282"/>
        <v>-54</v>
      </c>
      <c r="AA149" s="4">
        <f t="shared" ref="AA149" si="285">V149-U149</f>
        <v>-0.27999999999999936</v>
      </c>
      <c r="AB149" s="4">
        <v>4</v>
      </c>
      <c r="AC149" s="11">
        <v>0.33364583333333336</v>
      </c>
      <c r="AD149" s="11">
        <v>0.3369328703703704</v>
      </c>
      <c r="AE149" s="4">
        <f t="shared" si="232"/>
        <v>283.99999999999966</v>
      </c>
      <c r="AF149" s="4">
        <f>(AD149-M149)*86400</f>
        <v>0</v>
      </c>
      <c r="AG149" s="4">
        <v>4</v>
      </c>
      <c r="AH149" s="4">
        <f t="shared" si="236"/>
        <v>6.666666666666667</v>
      </c>
    </row>
    <row r="150" spans="1:34" x14ac:dyDescent="0.25">
      <c r="A150" s="3" t="s">
        <v>204</v>
      </c>
      <c r="B150" s="9">
        <v>43459</v>
      </c>
      <c r="C150" s="3">
        <v>1</v>
      </c>
      <c r="D150" s="3" t="s">
        <v>206</v>
      </c>
      <c r="E150" s="8">
        <v>0.33888888888888885</v>
      </c>
      <c r="F150" s="8">
        <v>0.34085648148148145</v>
      </c>
      <c r="G150" s="6">
        <f t="shared" si="250"/>
        <v>170.00000000000099</v>
      </c>
      <c r="H150" s="2">
        <v>2</v>
      </c>
      <c r="I150" s="2">
        <v>2</v>
      </c>
      <c r="J150" s="2">
        <v>123</v>
      </c>
      <c r="K150" s="2">
        <v>0</v>
      </c>
      <c r="L150" s="10">
        <v>0.33888888888888885</v>
      </c>
      <c r="M150" s="10">
        <v>0.34085648148148145</v>
      </c>
      <c r="N150" s="2">
        <f t="shared" si="251"/>
        <v>170.00000000000099</v>
      </c>
      <c r="O150" s="2"/>
      <c r="P150" s="13">
        <f t="shared" si="280"/>
        <v>0</v>
      </c>
      <c r="Q150" s="2">
        <v>0</v>
      </c>
      <c r="R150" s="7">
        <f t="shared" si="187"/>
        <v>0</v>
      </c>
      <c r="S150" s="4">
        <v>403</v>
      </c>
      <c r="T150" s="4">
        <v>433</v>
      </c>
      <c r="U150" s="4">
        <v>14</v>
      </c>
      <c r="V150" s="4">
        <v>12.72</v>
      </c>
      <c r="W150" s="4">
        <f t="shared" ref="W150" si="286">S150/U150</f>
        <v>28.785714285714285</v>
      </c>
      <c r="X150" s="4">
        <f t="shared" ref="X150" si="287">T150/V150</f>
        <v>34.040880503144649</v>
      </c>
      <c r="Y150" s="4">
        <f t="shared" si="281"/>
        <v>5.2551662174303644</v>
      </c>
      <c r="Z150" s="4">
        <f t="shared" si="282"/>
        <v>30</v>
      </c>
      <c r="AA150" s="4">
        <f t="shared" ref="AA150" si="288">V150-U150</f>
        <v>-1.2799999999999994</v>
      </c>
      <c r="AB150" s="4">
        <v>5</v>
      </c>
      <c r="AC150" s="11">
        <v>0.33888888888888885</v>
      </c>
      <c r="AD150" s="11">
        <v>0.34085648148148145</v>
      </c>
      <c r="AE150" s="4">
        <f t="shared" si="232"/>
        <v>170.00000000000099</v>
      </c>
      <c r="AF150" s="4">
        <f>(AD150-M150)*86400</f>
        <v>0</v>
      </c>
      <c r="AG150" s="4">
        <v>2</v>
      </c>
      <c r="AH150" s="4">
        <f t="shared" si="236"/>
        <v>3.3333333333333335</v>
      </c>
    </row>
    <row r="151" spans="1:34" x14ac:dyDescent="0.25">
      <c r="A151" s="3" t="s">
        <v>208</v>
      </c>
      <c r="B151" s="9">
        <v>43459</v>
      </c>
      <c r="C151" s="3">
        <v>1</v>
      </c>
      <c r="D151" s="3" t="s">
        <v>207</v>
      </c>
      <c r="E151" s="8">
        <v>0.34087962962962964</v>
      </c>
      <c r="F151" s="8">
        <v>0.34166666666666662</v>
      </c>
      <c r="G151" s="6">
        <f t="shared" ref="G151:G184" si="289">(F151-E151)*86400</f>
        <v>67.999999999994643</v>
      </c>
      <c r="H151" s="2">
        <v>1</v>
      </c>
      <c r="I151" s="2">
        <v>1</v>
      </c>
      <c r="J151" s="2">
        <v>108</v>
      </c>
      <c r="K151" s="2">
        <v>1</v>
      </c>
      <c r="L151" s="10">
        <v>0.34096064814814814</v>
      </c>
      <c r="M151" s="10">
        <v>0.34098379629629627</v>
      </c>
      <c r="N151" s="2">
        <f t="shared" ref="N151:N184" si="290">(M151-L151)*86400</f>
        <v>1.9999999999987139</v>
      </c>
      <c r="O151" s="2"/>
      <c r="P151" s="13">
        <f t="shared" si="280"/>
        <v>6.9999999999978968</v>
      </c>
      <c r="Q151" s="2">
        <v>3</v>
      </c>
      <c r="R151" s="7">
        <f t="shared" si="187"/>
        <v>5</v>
      </c>
      <c r="S151" s="4">
        <v>528</v>
      </c>
      <c r="T151" s="4">
        <v>417</v>
      </c>
      <c r="U151" s="4">
        <v>13.19</v>
      </c>
      <c r="V151" s="4">
        <v>8.39</v>
      </c>
      <c r="W151" s="4">
        <f t="shared" ref="W151" si="291">S151/U151</f>
        <v>40.030326004548904</v>
      </c>
      <c r="X151" s="4">
        <f t="shared" ref="X151" si="292">T151/V151</f>
        <v>49.702026221692485</v>
      </c>
      <c r="Y151" s="4">
        <f t="shared" si="281"/>
        <v>9.6717002171435809</v>
      </c>
      <c r="Z151" s="4">
        <f t="shared" si="282"/>
        <v>-111</v>
      </c>
      <c r="AA151" s="4">
        <f t="shared" ref="AA151" si="293">V151-U151</f>
        <v>-4.7999999999999989</v>
      </c>
      <c r="AB151" s="4">
        <v>2</v>
      </c>
      <c r="AC151" s="11">
        <v>0.34096064814814814</v>
      </c>
      <c r="AD151" s="11">
        <v>0.34113425925925928</v>
      </c>
      <c r="AE151" s="4">
        <f t="shared" si="232"/>
        <v>15.000000000002345</v>
      </c>
      <c r="AF151" s="4">
        <f>(AD153-M153)*86400</f>
        <v>10.999999999995325</v>
      </c>
      <c r="AG151" s="4">
        <v>6</v>
      </c>
      <c r="AH151" s="4">
        <f t="shared" si="236"/>
        <v>10</v>
      </c>
    </row>
    <row r="152" spans="1:34" x14ac:dyDescent="0.25">
      <c r="A152" s="3"/>
      <c r="B152" s="9">
        <v>43459</v>
      </c>
      <c r="C152" s="3">
        <v>1</v>
      </c>
      <c r="D152" s="3"/>
      <c r="E152" s="8"/>
      <c r="F152" s="8"/>
      <c r="G152" s="6">
        <f t="shared" si="289"/>
        <v>0</v>
      </c>
      <c r="H152" s="2">
        <v>1</v>
      </c>
      <c r="I152" s="2"/>
      <c r="J152" s="2"/>
      <c r="K152" s="2">
        <v>1</v>
      </c>
      <c r="L152" s="10">
        <v>0.34113425925925928</v>
      </c>
      <c r="M152" s="10">
        <v>0.34119212962962964</v>
      </c>
      <c r="N152" s="2">
        <f t="shared" si="290"/>
        <v>4.9999999999991829</v>
      </c>
      <c r="O152" s="2"/>
      <c r="P152" s="2"/>
      <c r="Q152" s="2"/>
      <c r="R152" s="7"/>
      <c r="S152" s="4"/>
      <c r="T152" s="4"/>
      <c r="U152" s="4"/>
      <c r="V152" s="4"/>
      <c r="W152" s="4"/>
      <c r="X152" s="4"/>
      <c r="Y152" s="4"/>
      <c r="Z152" s="4"/>
      <c r="AA152" s="4"/>
      <c r="AB152" s="4">
        <v>2</v>
      </c>
      <c r="AC152" s="11">
        <v>0.34113425925925928</v>
      </c>
      <c r="AD152" s="11">
        <v>0.3414699074074074</v>
      </c>
      <c r="AE152" s="4">
        <f t="shared" si="232"/>
        <v>28.999999999998138</v>
      </c>
      <c r="AF152" s="4"/>
      <c r="AG152" s="4"/>
      <c r="AH152" s="4"/>
    </row>
    <row r="153" spans="1:34" x14ac:dyDescent="0.25">
      <c r="A153" s="3"/>
      <c r="B153" s="9">
        <v>43459</v>
      </c>
      <c r="C153" s="3">
        <v>1</v>
      </c>
      <c r="D153" s="3"/>
      <c r="E153" s="8"/>
      <c r="F153" s="8"/>
      <c r="G153" s="6">
        <f t="shared" si="289"/>
        <v>0</v>
      </c>
      <c r="H153" s="2">
        <v>1</v>
      </c>
      <c r="I153" s="2"/>
      <c r="J153" s="2"/>
      <c r="K153" s="2">
        <v>1</v>
      </c>
      <c r="L153" s="10">
        <v>0.34151620370370367</v>
      </c>
      <c r="M153" s="10">
        <v>0.34153935185185186</v>
      </c>
      <c r="N153" s="2">
        <f t="shared" si="290"/>
        <v>2.0000000000035101</v>
      </c>
      <c r="O153" s="2"/>
      <c r="P153" s="2"/>
      <c r="Q153" s="2"/>
      <c r="R153" s="7"/>
      <c r="S153" s="4"/>
      <c r="T153" s="4"/>
      <c r="U153" s="4"/>
      <c r="V153" s="4"/>
      <c r="W153" s="4"/>
      <c r="X153" s="4"/>
      <c r="Y153" s="4"/>
      <c r="Z153" s="4"/>
      <c r="AA153" s="4"/>
      <c r="AB153" s="4">
        <v>2</v>
      </c>
      <c r="AC153" s="11">
        <v>0.34151620370370367</v>
      </c>
      <c r="AD153" s="11">
        <v>0.34166666666666662</v>
      </c>
      <c r="AE153" s="4">
        <f t="shared" si="232"/>
        <v>12.999999999998835</v>
      </c>
      <c r="AF153" s="4"/>
      <c r="AG153" s="4"/>
      <c r="AH153" s="4"/>
    </row>
    <row r="154" spans="1:34" x14ac:dyDescent="0.25">
      <c r="A154" s="3" t="s">
        <v>209</v>
      </c>
      <c r="B154" s="9">
        <v>43459</v>
      </c>
      <c r="C154" s="3">
        <v>1</v>
      </c>
      <c r="D154" s="3" t="s">
        <v>210</v>
      </c>
      <c r="E154" s="8">
        <v>0.35009259259259262</v>
      </c>
      <c r="F154" s="8">
        <v>0.35252314814814811</v>
      </c>
      <c r="G154" s="6">
        <f t="shared" si="289"/>
        <v>209.99999999999446</v>
      </c>
      <c r="H154" s="2">
        <v>1</v>
      </c>
      <c r="I154" s="2">
        <v>2</v>
      </c>
      <c r="J154" s="2">
        <v>110</v>
      </c>
      <c r="K154" s="2">
        <v>0</v>
      </c>
      <c r="L154" s="10">
        <v>0.35009259259259262</v>
      </c>
      <c r="M154" s="10">
        <v>0.35238425925925926</v>
      </c>
      <c r="N154" s="2">
        <f t="shared" si="290"/>
        <v>197.99999999999739</v>
      </c>
      <c r="O154" s="2">
        <v>1</v>
      </c>
      <c r="P154" s="13">
        <f>(L155-E154)*86400</f>
        <v>197.99999999999739</v>
      </c>
      <c r="Q154" s="2">
        <v>1</v>
      </c>
      <c r="R154" s="7">
        <f t="shared" ref="R154:R218" si="294">Q154/0.6</f>
        <v>1.6666666666666667</v>
      </c>
      <c r="S154" s="4"/>
      <c r="T154" s="4"/>
      <c r="U154" s="4"/>
      <c r="V154" s="4"/>
      <c r="W154" s="4"/>
      <c r="X154" s="4"/>
      <c r="Y154" s="4">
        <f>X154-W154</f>
        <v>0</v>
      </c>
      <c r="Z154" s="4">
        <f>T154-S154</f>
        <v>0</v>
      </c>
      <c r="AA154" s="4"/>
      <c r="AB154" s="4">
        <v>4</v>
      </c>
      <c r="AC154" s="11">
        <v>0.35009259259259262</v>
      </c>
      <c r="AD154" s="11">
        <v>0.35238425925925926</v>
      </c>
      <c r="AE154" s="4">
        <f t="shared" si="232"/>
        <v>197.99999999999739</v>
      </c>
      <c r="AF154" s="4">
        <f>(AD155-M155)*86400</f>
        <v>9.9999999999935696</v>
      </c>
      <c r="AG154" s="4">
        <v>3</v>
      </c>
      <c r="AH154" s="4">
        <f t="shared" si="236"/>
        <v>5</v>
      </c>
    </row>
    <row r="155" spans="1:34" x14ac:dyDescent="0.25">
      <c r="A155" s="3"/>
      <c r="B155" s="9">
        <v>43459</v>
      </c>
      <c r="C155" s="3">
        <v>1</v>
      </c>
      <c r="D155" s="3"/>
      <c r="E155" s="8"/>
      <c r="F155" s="8"/>
      <c r="G155" s="6">
        <f t="shared" si="289"/>
        <v>0</v>
      </c>
      <c r="H155" s="2">
        <v>1</v>
      </c>
      <c r="I155" s="2"/>
      <c r="J155" s="2"/>
      <c r="K155" s="2">
        <v>1</v>
      </c>
      <c r="L155" s="10">
        <v>0.35238425925925926</v>
      </c>
      <c r="M155" s="10">
        <v>0.35240740740740745</v>
      </c>
      <c r="N155" s="2">
        <f t="shared" si="290"/>
        <v>2.0000000000035101</v>
      </c>
      <c r="O155" s="2"/>
      <c r="P155" s="2"/>
      <c r="Q155" s="2"/>
      <c r="R155" s="7"/>
      <c r="S155" s="4"/>
      <c r="T155" s="4"/>
      <c r="U155" s="4"/>
      <c r="V155" s="4"/>
      <c r="W155" s="4"/>
      <c r="X155" s="4"/>
      <c r="Y155" s="4"/>
      <c r="Z155" s="4"/>
      <c r="AA155" s="4"/>
      <c r="AB155" s="4">
        <v>4</v>
      </c>
      <c r="AC155" s="11">
        <v>0.35238425925925926</v>
      </c>
      <c r="AD155" s="11">
        <v>0.35252314814814811</v>
      </c>
      <c r="AE155" s="4">
        <f t="shared" si="232"/>
        <v>11.99999999999708</v>
      </c>
      <c r="AF155" s="4"/>
      <c r="AG155" s="4"/>
      <c r="AH155" s="4"/>
    </row>
    <row r="156" spans="1:34" x14ac:dyDescent="0.25">
      <c r="A156" s="3" t="s">
        <v>211</v>
      </c>
      <c r="B156" s="9">
        <v>43459</v>
      </c>
      <c r="C156" s="3">
        <v>3</v>
      </c>
      <c r="D156" s="3" t="s">
        <v>212</v>
      </c>
      <c r="E156" s="8">
        <v>0.65539351851851857</v>
      </c>
      <c r="F156" s="8">
        <v>0.65604166666666663</v>
      </c>
      <c r="G156" s="6">
        <f t="shared" si="289"/>
        <v>55.999999999992767</v>
      </c>
      <c r="H156" s="2">
        <v>1</v>
      </c>
      <c r="I156" s="2">
        <v>1</v>
      </c>
      <c r="J156" s="2">
        <v>76</v>
      </c>
      <c r="K156" s="2">
        <v>1</v>
      </c>
      <c r="L156" s="10">
        <v>0.65539351851851857</v>
      </c>
      <c r="M156" s="10">
        <v>0.65543981481481484</v>
      </c>
      <c r="N156" s="2">
        <f t="shared" si="290"/>
        <v>3.9999999999974278</v>
      </c>
      <c r="O156" s="2"/>
      <c r="P156" s="13">
        <f>(L156-E156)*86400</f>
        <v>0</v>
      </c>
      <c r="Q156" s="2">
        <v>3</v>
      </c>
      <c r="R156" s="7">
        <f t="shared" si="294"/>
        <v>5</v>
      </c>
      <c r="S156" s="4">
        <v>402</v>
      </c>
      <c r="T156" s="4">
        <v>514</v>
      </c>
      <c r="U156" s="4">
        <v>12.91</v>
      </c>
      <c r="V156" s="4">
        <v>10.81</v>
      </c>
      <c r="W156" s="4">
        <f t="shared" ref="W156" si="295">S156/U156</f>
        <v>31.138652207591015</v>
      </c>
      <c r="X156" s="4">
        <f t="shared" ref="X156" si="296">T156/V156</f>
        <v>47.548566142460679</v>
      </c>
      <c r="Y156" s="4">
        <f>X156-W156</f>
        <v>16.409913934869664</v>
      </c>
      <c r="Z156" s="4">
        <f>T156-S156</f>
        <v>112</v>
      </c>
      <c r="AA156" s="4">
        <f t="shared" ref="AA156" si="297">V156-U156</f>
        <v>-2.0999999999999996</v>
      </c>
      <c r="AB156" s="4">
        <v>2</v>
      </c>
      <c r="AC156" s="11">
        <v>0.65539351851851857</v>
      </c>
      <c r="AD156" s="11">
        <v>0.65569444444444447</v>
      </c>
      <c r="AE156" s="4">
        <f t="shared" si="232"/>
        <v>25.999999999997669</v>
      </c>
      <c r="AF156" s="4">
        <f>(AD158-M158)*86400</f>
        <v>7.9999999999948557</v>
      </c>
      <c r="AG156" s="4">
        <v>2</v>
      </c>
      <c r="AH156" s="4">
        <f t="shared" si="236"/>
        <v>3.3333333333333335</v>
      </c>
    </row>
    <row r="157" spans="1:34" x14ac:dyDescent="0.25">
      <c r="A157" s="3"/>
      <c r="B157" s="9">
        <v>43459</v>
      </c>
      <c r="C157" s="3">
        <v>3</v>
      </c>
      <c r="D157" s="3"/>
      <c r="E157" s="8"/>
      <c r="F157" s="8"/>
      <c r="G157" s="6">
        <f t="shared" si="289"/>
        <v>0</v>
      </c>
      <c r="H157" s="2">
        <v>1</v>
      </c>
      <c r="I157" s="2"/>
      <c r="J157" s="2"/>
      <c r="K157" s="2">
        <v>1</v>
      </c>
      <c r="L157" s="10">
        <v>0.65569444444444447</v>
      </c>
      <c r="M157" s="10">
        <v>0.6557291666666667</v>
      </c>
      <c r="N157" s="2">
        <f t="shared" si="290"/>
        <v>3.000000000000469</v>
      </c>
      <c r="O157" s="2"/>
      <c r="P157" s="2"/>
      <c r="Q157" s="2"/>
      <c r="R157" s="7"/>
      <c r="S157" s="4"/>
      <c r="T157" s="4"/>
      <c r="U157" s="4"/>
      <c r="V157" s="4"/>
      <c r="W157" s="4"/>
      <c r="X157" s="4"/>
      <c r="Y157" s="4"/>
      <c r="Z157" s="4"/>
      <c r="AA157" s="4"/>
      <c r="AB157" s="4">
        <v>1</v>
      </c>
      <c r="AC157" s="11">
        <v>0.65569444444444447</v>
      </c>
      <c r="AD157" s="11">
        <v>0.65589120370370368</v>
      </c>
      <c r="AE157" s="4">
        <f t="shared" si="232"/>
        <v>16.999999999996263</v>
      </c>
      <c r="AF157" s="4"/>
      <c r="AG157" s="4"/>
      <c r="AH157" s="4"/>
    </row>
    <row r="158" spans="1:34" x14ac:dyDescent="0.25">
      <c r="A158" s="3"/>
      <c r="B158" s="9">
        <v>43459</v>
      </c>
      <c r="C158" s="3">
        <v>3</v>
      </c>
      <c r="D158" s="3"/>
      <c r="E158" s="8"/>
      <c r="F158" s="8"/>
      <c r="G158" s="6">
        <f t="shared" si="289"/>
        <v>0</v>
      </c>
      <c r="H158" s="2">
        <v>1</v>
      </c>
      <c r="I158" s="2"/>
      <c r="J158" s="2"/>
      <c r="K158" s="2">
        <v>1</v>
      </c>
      <c r="L158" s="10">
        <v>0.65592592592592591</v>
      </c>
      <c r="M158" s="10">
        <v>0.6559490740740741</v>
      </c>
      <c r="N158" s="2">
        <f t="shared" si="290"/>
        <v>2.0000000000035101</v>
      </c>
      <c r="O158" s="2"/>
      <c r="P158" s="2"/>
      <c r="Q158" s="2"/>
      <c r="R158" s="7"/>
      <c r="S158" s="4"/>
      <c r="T158" s="4"/>
      <c r="U158" s="4"/>
      <c r="V158" s="4"/>
      <c r="W158" s="4"/>
      <c r="X158" s="4"/>
      <c r="Y158" s="4"/>
      <c r="Z158" s="4"/>
      <c r="AA158" s="4"/>
      <c r="AB158" s="4">
        <v>2</v>
      </c>
      <c r="AC158" s="11">
        <v>0.65592592592592591</v>
      </c>
      <c r="AD158" s="11">
        <v>0.65604166666666663</v>
      </c>
      <c r="AE158" s="4">
        <f t="shared" si="232"/>
        <v>9.9999999999983658</v>
      </c>
      <c r="AF158" s="4"/>
      <c r="AG158" s="4"/>
      <c r="AH158" s="4"/>
    </row>
    <row r="159" spans="1:34" x14ac:dyDescent="0.25">
      <c r="A159" s="3" t="s">
        <v>211</v>
      </c>
      <c r="B159" s="9">
        <v>43459</v>
      </c>
      <c r="C159" s="3">
        <v>3</v>
      </c>
      <c r="D159" s="3" t="s">
        <v>213</v>
      </c>
      <c r="E159" s="8">
        <v>0.65760416666666666</v>
      </c>
      <c r="F159" s="8">
        <v>0.65793981481481478</v>
      </c>
      <c r="G159" s="6">
        <f t="shared" si="289"/>
        <v>28.999999999998138</v>
      </c>
      <c r="H159" s="2">
        <v>1</v>
      </c>
      <c r="I159" s="2">
        <v>1</v>
      </c>
      <c r="J159" s="2">
        <v>78</v>
      </c>
      <c r="K159" s="2">
        <v>1</v>
      </c>
      <c r="L159" s="10">
        <v>0.65760416666666666</v>
      </c>
      <c r="M159" s="10">
        <v>0.65776620370370364</v>
      </c>
      <c r="N159" s="2">
        <f t="shared" si="290"/>
        <v>13.999999999995794</v>
      </c>
      <c r="O159" s="2"/>
      <c r="P159" s="13">
        <f t="shared" ref="P159:P164" si="298">(L159-E159)*86400</f>
        <v>0</v>
      </c>
      <c r="Q159" s="2">
        <v>1</v>
      </c>
      <c r="R159" s="7">
        <f t="shared" si="294"/>
        <v>1.6666666666666667</v>
      </c>
      <c r="S159" s="4">
        <v>214</v>
      </c>
      <c r="T159" s="4">
        <v>77</v>
      </c>
      <c r="U159" s="4">
        <v>4.16</v>
      </c>
      <c r="V159" s="4">
        <v>3.74</v>
      </c>
      <c r="W159" s="4">
        <f t="shared" ref="W159" si="299">S159/U159</f>
        <v>51.442307692307693</v>
      </c>
      <c r="X159" s="4">
        <f t="shared" ref="X159" si="300">T159/V159</f>
        <v>20.588235294117645</v>
      </c>
      <c r="Y159" s="4">
        <f t="shared" ref="Y159:Y165" si="301">X159-W159</f>
        <v>-30.854072398190048</v>
      </c>
      <c r="Z159" s="4">
        <f t="shared" ref="Z159:Z165" si="302">T159-S159</f>
        <v>-137</v>
      </c>
      <c r="AA159" s="4">
        <f t="shared" ref="AA159" si="303">V159-U159</f>
        <v>-0.41999999999999993</v>
      </c>
      <c r="AB159" s="4">
        <v>2</v>
      </c>
      <c r="AC159" s="11">
        <v>0.65756944444444443</v>
      </c>
      <c r="AD159" s="11">
        <v>0.65793981481481478</v>
      </c>
      <c r="AE159" s="4">
        <f t="shared" si="232"/>
        <v>31.999999999998607</v>
      </c>
      <c r="AF159" s="4">
        <f t="shared" ref="AF159:AF164" si="304">(AD159-M159)*86400</f>
        <v>15.000000000002345</v>
      </c>
      <c r="AG159" s="4">
        <v>1</v>
      </c>
      <c r="AH159" s="4">
        <f t="shared" si="236"/>
        <v>1.6666666666666667</v>
      </c>
    </row>
    <row r="160" spans="1:34" x14ac:dyDescent="0.25">
      <c r="A160" s="3" t="s">
        <v>214</v>
      </c>
      <c r="B160" s="9">
        <v>43459</v>
      </c>
      <c r="C160" s="3">
        <v>4</v>
      </c>
      <c r="D160" s="3" t="s">
        <v>215</v>
      </c>
      <c r="E160" s="8">
        <v>0.97916666666666663</v>
      </c>
      <c r="F160" s="8">
        <v>0.98541666666666661</v>
      </c>
      <c r="G160" s="6">
        <f t="shared" si="289"/>
        <v>539.99999999999807</v>
      </c>
      <c r="H160" s="2">
        <v>2</v>
      </c>
      <c r="I160" s="2">
        <v>2</v>
      </c>
      <c r="J160" s="2">
        <v>102</v>
      </c>
      <c r="K160" s="2">
        <v>0</v>
      </c>
      <c r="L160" s="10"/>
      <c r="M160" s="10"/>
      <c r="N160" s="2">
        <f t="shared" si="290"/>
        <v>0</v>
      </c>
      <c r="O160" s="2"/>
      <c r="P160" s="13">
        <f t="shared" si="298"/>
        <v>-84600</v>
      </c>
      <c r="Q160" s="2">
        <v>0</v>
      </c>
      <c r="R160" s="7">
        <f t="shared" si="294"/>
        <v>0</v>
      </c>
      <c r="S160" s="4">
        <v>5</v>
      </c>
      <c r="T160" s="4"/>
      <c r="U160" s="4"/>
      <c r="V160" s="4"/>
      <c r="W160" s="4"/>
      <c r="X160" s="4"/>
      <c r="Y160" s="4">
        <f t="shared" si="301"/>
        <v>0</v>
      </c>
      <c r="Z160" s="4">
        <f t="shared" si="302"/>
        <v>-5</v>
      </c>
      <c r="AA160" s="4"/>
      <c r="AB160" s="4">
        <v>0</v>
      </c>
      <c r="AC160" s="11"/>
      <c r="AD160" s="11"/>
      <c r="AE160" s="4">
        <f t="shared" si="232"/>
        <v>0</v>
      </c>
      <c r="AF160" s="4">
        <f t="shared" si="304"/>
        <v>0</v>
      </c>
      <c r="AG160" s="4">
        <v>0</v>
      </c>
      <c r="AH160" s="4"/>
    </row>
    <row r="161" spans="1:34" x14ac:dyDescent="0.25">
      <c r="A161" s="3" t="s">
        <v>216</v>
      </c>
      <c r="B161" s="9">
        <v>43459</v>
      </c>
      <c r="C161" s="3">
        <v>4</v>
      </c>
      <c r="D161" s="3" t="s">
        <v>217</v>
      </c>
      <c r="E161" s="8">
        <v>0.98968750000000005</v>
      </c>
      <c r="F161" s="8">
        <v>2.4305555555555552E-4</v>
      </c>
      <c r="G161" s="6">
        <v>330</v>
      </c>
      <c r="H161" s="2">
        <v>2</v>
      </c>
      <c r="I161" s="2">
        <v>2</v>
      </c>
      <c r="J161" s="2">
        <v>121</v>
      </c>
      <c r="K161" s="2">
        <v>0</v>
      </c>
      <c r="L161" s="10"/>
      <c r="M161" s="10"/>
      <c r="N161" s="2">
        <f t="shared" si="290"/>
        <v>0</v>
      </c>
      <c r="O161" s="2"/>
      <c r="P161" s="13">
        <f t="shared" si="298"/>
        <v>-85509</v>
      </c>
      <c r="Q161" s="2">
        <v>0</v>
      </c>
      <c r="R161" s="7">
        <f t="shared" si="294"/>
        <v>0</v>
      </c>
      <c r="S161" s="4">
        <v>5</v>
      </c>
      <c r="T161" s="4"/>
      <c r="U161" s="4"/>
      <c r="V161" s="4"/>
      <c r="W161" s="4"/>
      <c r="X161" s="4"/>
      <c r="Y161" s="4">
        <f t="shared" si="301"/>
        <v>0</v>
      </c>
      <c r="Z161" s="4">
        <f t="shared" si="302"/>
        <v>-5</v>
      </c>
      <c r="AA161" s="4"/>
      <c r="AB161" s="4">
        <v>4</v>
      </c>
      <c r="AC161" s="11">
        <v>0.98968750000000005</v>
      </c>
      <c r="AD161" s="11">
        <v>0.99017361111111113</v>
      </c>
      <c r="AE161" s="4">
        <f t="shared" si="232"/>
        <v>41.999999999996973</v>
      </c>
      <c r="AF161" s="4">
        <f t="shared" si="304"/>
        <v>85551</v>
      </c>
      <c r="AG161" s="4">
        <v>0</v>
      </c>
      <c r="AH161" s="4"/>
    </row>
    <row r="162" spans="1:34" x14ac:dyDescent="0.25">
      <c r="A162" s="3" t="s">
        <v>218</v>
      </c>
      <c r="B162" s="9">
        <v>43459</v>
      </c>
      <c r="C162" s="3">
        <v>4</v>
      </c>
      <c r="D162" s="3" t="s">
        <v>219</v>
      </c>
      <c r="E162" s="8">
        <v>1.8287037037037037E-3</v>
      </c>
      <c r="F162" s="8">
        <v>5.4398148148148149E-3</v>
      </c>
      <c r="G162" s="6">
        <f t="shared" si="289"/>
        <v>312</v>
      </c>
      <c r="H162" s="2">
        <v>2</v>
      </c>
      <c r="I162" s="2">
        <v>1</v>
      </c>
      <c r="J162" s="2">
        <v>121</v>
      </c>
      <c r="K162" s="2">
        <v>0</v>
      </c>
      <c r="L162" s="10"/>
      <c r="M162" s="10"/>
      <c r="N162" s="2">
        <f t="shared" si="290"/>
        <v>0</v>
      </c>
      <c r="O162" s="2"/>
      <c r="P162" s="13">
        <f t="shared" si="298"/>
        <v>-158</v>
      </c>
      <c r="Q162" s="2">
        <v>0</v>
      </c>
      <c r="R162" s="7">
        <f t="shared" si="294"/>
        <v>0</v>
      </c>
      <c r="S162" s="4"/>
      <c r="T162" s="4"/>
      <c r="U162" s="4"/>
      <c r="V162" s="4"/>
      <c r="W162" s="4"/>
      <c r="X162" s="4"/>
      <c r="Y162" s="4">
        <f t="shared" si="301"/>
        <v>0</v>
      </c>
      <c r="Z162" s="4">
        <f t="shared" si="302"/>
        <v>0</v>
      </c>
      <c r="AA162" s="4"/>
      <c r="AB162" s="4">
        <v>0</v>
      </c>
      <c r="AC162" s="11">
        <v>1.8287037037037037E-3</v>
      </c>
      <c r="AD162" s="11">
        <v>5.4398148148148149E-3</v>
      </c>
      <c r="AE162" s="4">
        <f t="shared" si="232"/>
        <v>312</v>
      </c>
      <c r="AF162" s="4">
        <f t="shared" si="304"/>
        <v>470</v>
      </c>
      <c r="AG162" s="4">
        <v>0</v>
      </c>
      <c r="AH162" s="4"/>
    </row>
    <row r="163" spans="1:34" x14ac:dyDescent="0.25">
      <c r="A163" s="3" t="s">
        <v>220</v>
      </c>
      <c r="B163" s="9">
        <v>43459</v>
      </c>
      <c r="C163" s="3">
        <v>4</v>
      </c>
      <c r="D163" s="3" t="s">
        <v>221</v>
      </c>
      <c r="E163" s="8">
        <v>4.4444444444444446E-2</v>
      </c>
      <c r="F163" s="8">
        <v>5.6689814814814811E-2</v>
      </c>
      <c r="G163" s="6">
        <f t="shared" si="289"/>
        <v>1057.9999999999995</v>
      </c>
      <c r="H163" s="2">
        <v>2</v>
      </c>
      <c r="I163" s="2">
        <v>1</v>
      </c>
      <c r="J163" s="2">
        <v>121</v>
      </c>
      <c r="K163" s="2">
        <v>0</v>
      </c>
      <c r="L163" s="10"/>
      <c r="M163" s="10"/>
      <c r="N163" s="2">
        <f t="shared" si="290"/>
        <v>0</v>
      </c>
      <c r="O163" s="2"/>
      <c r="P163" s="13">
        <f t="shared" si="298"/>
        <v>-3840</v>
      </c>
      <c r="Q163" s="2">
        <v>0</v>
      </c>
      <c r="R163" s="7">
        <f t="shared" si="294"/>
        <v>0</v>
      </c>
      <c r="S163" s="4"/>
      <c r="T163" s="4"/>
      <c r="U163" s="4"/>
      <c r="V163" s="4"/>
      <c r="W163" s="4"/>
      <c r="X163" s="4"/>
      <c r="Y163" s="4">
        <f t="shared" si="301"/>
        <v>0</v>
      </c>
      <c r="Z163" s="4">
        <f t="shared" si="302"/>
        <v>0</v>
      </c>
      <c r="AA163" s="4"/>
      <c r="AB163" s="4">
        <v>0</v>
      </c>
      <c r="AC163" s="11">
        <v>4.4444444444444446E-2</v>
      </c>
      <c r="AD163" s="11">
        <v>5.6689814814814811E-2</v>
      </c>
      <c r="AE163" s="4">
        <f t="shared" si="232"/>
        <v>1057.9999999999995</v>
      </c>
      <c r="AF163" s="4">
        <f t="shared" si="304"/>
        <v>4898</v>
      </c>
      <c r="AG163" s="4">
        <v>0</v>
      </c>
      <c r="AH163" s="4"/>
    </row>
    <row r="164" spans="1:34" x14ac:dyDescent="0.25">
      <c r="A164" s="3" t="s">
        <v>223</v>
      </c>
      <c r="B164" s="9">
        <v>43460</v>
      </c>
      <c r="C164" s="3">
        <v>1</v>
      </c>
      <c r="D164" s="3" t="s">
        <v>222</v>
      </c>
      <c r="E164" s="8">
        <v>0.32623842592592595</v>
      </c>
      <c r="F164" s="8">
        <v>0.3263888888888889</v>
      </c>
      <c r="G164" s="6">
        <f t="shared" si="289"/>
        <v>12.999999999998835</v>
      </c>
      <c r="H164" s="2">
        <v>2</v>
      </c>
      <c r="I164" s="2">
        <v>2</v>
      </c>
      <c r="J164" s="2">
        <v>129</v>
      </c>
      <c r="K164" s="2">
        <v>1</v>
      </c>
      <c r="L164" s="10">
        <v>0.32623842592592595</v>
      </c>
      <c r="M164" s="10">
        <v>0.32627314814814817</v>
      </c>
      <c r="N164" s="2">
        <f t="shared" si="290"/>
        <v>3.000000000000469</v>
      </c>
      <c r="O164" s="2"/>
      <c r="P164" s="13">
        <f t="shared" si="298"/>
        <v>0</v>
      </c>
      <c r="Q164" s="2">
        <v>1</v>
      </c>
      <c r="R164" s="7">
        <f t="shared" si="294"/>
        <v>1.6666666666666667</v>
      </c>
      <c r="S164" s="4">
        <v>465</v>
      </c>
      <c r="T164" s="4">
        <v>229</v>
      </c>
      <c r="U164" s="4">
        <v>12.34</v>
      </c>
      <c r="V164" s="4">
        <v>7.06</v>
      </c>
      <c r="W164" s="4">
        <f t="shared" ref="W164" si="305">S164/U164</f>
        <v>37.682333873581847</v>
      </c>
      <c r="X164" s="4">
        <f t="shared" ref="X164" si="306">T164/V164</f>
        <v>32.436260623229465</v>
      </c>
      <c r="Y164" s="4">
        <f t="shared" si="301"/>
        <v>-5.2460732503523815</v>
      </c>
      <c r="Z164" s="4">
        <f t="shared" si="302"/>
        <v>-236</v>
      </c>
      <c r="AA164" s="4">
        <f t="shared" ref="AA164" si="307">V164-U164</f>
        <v>-5.28</v>
      </c>
      <c r="AB164" s="4">
        <v>3</v>
      </c>
      <c r="AC164" s="11">
        <v>0.32623842592592595</v>
      </c>
      <c r="AD164" s="11">
        <v>0.3263888888888889</v>
      </c>
      <c r="AE164" s="4">
        <f t="shared" si="232"/>
        <v>12.999999999998835</v>
      </c>
      <c r="AF164" s="4">
        <f t="shared" si="304"/>
        <v>9.9999999999983658</v>
      </c>
      <c r="AG164" s="4">
        <v>1</v>
      </c>
      <c r="AH164" s="4">
        <f t="shared" si="236"/>
        <v>1.6666666666666667</v>
      </c>
    </row>
    <row r="165" spans="1:34" x14ac:dyDescent="0.25">
      <c r="A165" s="3" t="s">
        <v>225</v>
      </c>
      <c r="B165" s="9">
        <v>43460</v>
      </c>
      <c r="C165" s="3">
        <v>1</v>
      </c>
      <c r="D165" s="3" t="s">
        <v>224</v>
      </c>
      <c r="E165" s="8">
        <v>0.32920138888888889</v>
      </c>
      <c r="F165" s="8">
        <v>0.33252314814814815</v>
      </c>
      <c r="G165" s="6">
        <f t="shared" si="289"/>
        <v>287.00000000000011</v>
      </c>
      <c r="H165" s="2">
        <v>2</v>
      </c>
      <c r="I165" s="2">
        <v>1</v>
      </c>
      <c r="J165" s="2">
        <v>130</v>
      </c>
      <c r="K165" s="2">
        <v>0</v>
      </c>
      <c r="L165" s="10">
        <v>0.32920138888888889</v>
      </c>
      <c r="M165" s="10">
        <v>0.33201388888888889</v>
      </c>
      <c r="N165" s="2">
        <f t="shared" si="290"/>
        <v>242.9999999999996</v>
      </c>
      <c r="O165" s="2">
        <v>1</v>
      </c>
      <c r="P165" s="13">
        <f>(L166-E165)*86400</f>
        <v>242.9999999999996</v>
      </c>
      <c r="Q165" s="2">
        <v>3</v>
      </c>
      <c r="R165" s="7">
        <f t="shared" si="294"/>
        <v>5</v>
      </c>
      <c r="S165" s="4">
        <v>438</v>
      </c>
      <c r="T165" s="4">
        <v>422</v>
      </c>
      <c r="U165" s="4">
        <v>13.61</v>
      </c>
      <c r="V165" s="4">
        <v>13.07</v>
      </c>
      <c r="W165" s="4">
        <f t="shared" ref="W165" si="308">S165/U165</f>
        <v>32.182218956649521</v>
      </c>
      <c r="X165" s="4">
        <f t="shared" ref="X165" si="309">T165/V165</f>
        <v>32.287681713848507</v>
      </c>
      <c r="Y165" s="4">
        <f t="shared" si="301"/>
        <v>0.10546275719898546</v>
      </c>
      <c r="Z165" s="4">
        <f t="shared" si="302"/>
        <v>-16</v>
      </c>
      <c r="AA165" s="4">
        <f t="shared" ref="AA165" si="310">V165-U165</f>
        <v>-0.53999999999999915</v>
      </c>
      <c r="AB165" s="4">
        <v>4</v>
      </c>
      <c r="AC165" s="11">
        <v>0.32920138888888889</v>
      </c>
      <c r="AD165" s="11">
        <v>0.33201388888888889</v>
      </c>
      <c r="AE165" s="4">
        <f t="shared" si="232"/>
        <v>242.9999999999996</v>
      </c>
      <c r="AF165" s="4">
        <f>(AD168-M168)*86400</f>
        <v>22.9999999999972</v>
      </c>
      <c r="AG165" s="4">
        <v>4</v>
      </c>
      <c r="AH165" s="4">
        <f t="shared" si="236"/>
        <v>6.666666666666667</v>
      </c>
    </row>
    <row r="166" spans="1:34" x14ac:dyDescent="0.25">
      <c r="A166" s="3"/>
      <c r="B166" s="9">
        <v>43460</v>
      </c>
      <c r="C166" s="3">
        <v>1</v>
      </c>
      <c r="D166" s="3"/>
      <c r="E166" s="8"/>
      <c r="F166" s="8"/>
      <c r="G166" s="6">
        <f t="shared" si="289"/>
        <v>0</v>
      </c>
      <c r="H166" s="2">
        <v>2</v>
      </c>
      <c r="I166" s="2"/>
      <c r="J166" s="2"/>
      <c r="K166" s="2">
        <v>1</v>
      </c>
      <c r="L166" s="10">
        <v>0.33201388888888889</v>
      </c>
      <c r="M166" s="10">
        <v>0.33202546296296293</v>
      </c>
      <c r="N166" s="2">
        <f t="shared" si="290"/>
        <v>0.99999999999695888</v>
      </c>
      <c r="O166" s="2"/>
      <c r="P166" s="2"/>
      <c r="Q166" s="2"/>
      <c r="R166" s="7"/>
      <c r="S166" s="4"/>
      <c r="T166" s="4"/>
      <c r="U166" s="4"/>
      <c r="V166" s="4"/>
      <c r="W166" s="4"/>
      <c r="X166" s="4"/>
      <c r="Y166" s="4"/>
      <c r="Z166" s="4"/>
      <c r="AA166" s="4"/>
      <c r="AB166" s="4">
        <v>3</v>
      </c>
      <c r="AC166" s="11">
        <v>0.33201388888888889</v>
      </c>
      <c r="AD166" s="11">
        <v>0.33209490740740738</v>
      </c>
      <c r="AE166" s="4">
        <f t="shared" si="232"/>
        <v>6.9999999999978968</v>
      </c>
      <c r="AF166" s="4"/>
      <c r="AG166" s="4"/>
      <c r="AH166" s="4"/>
    </row>
    <row r="167" spans="1:34" x14ac:dyDescent="0.25">
      <c r="A167" s="3"/>
      <c r="B167" s="9">
        <v>43460</v>
      </c>
      <c r="C167" s="3">
        <v>1</v>
      </c>
      <c r="D167" s="3"/>
      <c r="E167" s="8"/>
      <c r="F167" s="8"/>
      <c r="G167" s="6">
        <f t="shared" si="289"/>
        <v>0</v>
      </c>
      <c r="H167" s="2">
        <v>2</v>
      </c>
      <c r="I167" s="2"/>
      <c r="J167" s="2"/>
      <c r="K167" s="2">
        <v>1</v>
      </c>
      <c r="L167" s="10">
        <v>0.33209490740740738</v>
      </c>
      <c r="M167" s="10">
        <v>0.33212962962962961</v>
      </c>
      <c r="N167" s="2">
        <f t="shared" si="290"/>
        <v>3.000000000000469</v>
      </c>
      <c r="O167" s="2"/>
      <c r="P167" s="2"/>
      <c r="Q167" s="2"/>
      <c r="R167" s="7"/>
      <c r="S167" s="4"/>
      <c r="T167" s="4"/>
      <c r="U167" s="4"/>
      <c r="V167" s="4"/>
      <c r="W167" s="4"/>
      <c r="X167" s="4"/>
      <c r="Y167" s="4"/>
      <c r="Z167" s="4"/>
      <c r="AA167" s="4"/>
      <c r="AB167" s="4">
        <v>3</v>
      </c>
      <c r="AC167" s="11">
        <v>0.33209490740740738</v>
      </c>
      <c r="AD167" s="11">
        <v>0.33221064814814816</v>
      </c>
      <c r="AE167" s="4">
        <f t="shared" si="232"/>
        <v>10.000000000003162</v>
      </c>
      <c r="AF167" s="4"/>
      <c r="AG167" s="4"/>
      <c r="AH167" s="4"/>
    </row>
    <row r="168" spans="1:34" x14ac:dyDescent="0.25">
      <c r="A168" s="3"/>
      <c r="B168" s="9">
        <v>43460</v>
      </c>
      <c r="C168" s="3">
        <v>1</v>
      </c>
      <c r="D168" s="3"/>
      <c r="E168" s="8"/>
      <c r="F168" s="8"/>
      <c r="G168" s="6">
        <f t="shared" si="289"/>
        <v>0</v>
      </c>
      <c r="H168" s="2">
        <v>2</v>
      </c>
      <c r="I168" s="2"/>
      <c r="J168" s="2"/>
      <c r="K168" s="2">
        <v>1</v>
      </c>
      <c r="L168" s="10">
        <v>0.33221064814814816</v>
      </c>
      <c r="M168" s="10">
        <v>0.33225694444444448</v>
      </c>
      <c r="N168" s="2">
        <f t="shared" si="290"/>
        <v>4.000000000002224</v>
      </c>
      <c r="O168" s="2"/>
      <c r="P168" s="2"/>
      <c r="Q168" s="2"/>
      <c r="R168" s="7"/>
      <c r="S168" s="4"/>
      <c r="T168" s="4"/>
      <c r="U168" s="4"/>
      <c r="V168" s="4"/>
      <c r="W168" s="4"/>
      <c r="X168" s="4"/>
      <c r="Y168" s="4"/>
      <c r="Z168" s="4"/>
      <c r="AA168" s="4"/>
      <c r="AB168" s="4">
        <v>1</v>
      </c>
      <c r="AC168" s="11">
        <v>0.33222222222222225</v>
      </c>
      <c r="AD168" s="11">
        <v>0.33252314814814815</v>
      </c>
      <c r="AE168" s="4">
        <f t="shared" si="232"/>
        <v>25.999999999997669</v>
      </c>
      <c r="AF168" s="4"/>
      <c r="AG168" s="4"/>
      <c r="AH168" s="4"/>
    </row>
    <row r="169" spans="1:34" x14ac:dyDescent="0.25">
      <c r="A169" s="3" t="s">
        <v>228</v>
      </c>
      <c r="B169" s="9">
        <v>43460</v>
      </c>
      <c r="C169" s="3">
        <v>1</v>
      </c>
      <c r="D169" s="3" t="s">
        <v>226</v>
      </c>
      <c r="E169" s="8">
        <v>0.33513888888888888</v>
      </c>
      <c r="F169" s="8">
        <v>0.33583333333333337</v>
      </c>
      <c r="G169" s="6">
        <f t="shared" si="289"/>
        <v>60.000000000004583</v>
      </c>
      <c r="H169" s="2">
        <v>2</v>
      </c>
      <c r="I169" s="2">
        <v>2</v>
      </c>
      <c r="J169" s="2">
        <v>102</v>
      </c>
      <c r="K169" s="2">
        <v>0</v>
      </c>
      <c r="L169" s="10">
        <v>0.33513888888888888</v>
      </c>
      <c r="M169" s="10">
        <v>0.33583333333333337</v>
      </c>
      <c r="N169" s="2">
        <f t="shared" si="290"/>
        <v>60.000000000004583</v>
      </c>
      <c r="O169" s="2"/>
      <c r="P169" s="13">
        <f t="shared" ref="P169:P170" si="311">(L169-E169)*86400</f>
        <v>0</v>
      </c>
      <c r="Q169" s="2">
        <v>0</v>
      </c>
      <c r="R169" s="7">
        <f t="shared" si="294"/>
        <v>0</v>
      </c>
      <c r="S169" s="4">
        <v>521</v>
      </c>
      <c r="T169" s="4">
        <v>402</v>
      </c>
      <c r="U169" s="4">
        <v>14.35</v>
      </c>
      <c r="V169" s="4">
        <v>12.12</v>
      </c>
      <c r="W169" s="4">
        <f t="shared" ref="W169" si="312">S169/U169</f>
        <v>36.306620209059233</v>
      </c>
      <c r="X169" s="4">
        <f t="shared" ref="X169" si="313">T169/V169</f>
        <v>33.168316831683171</v>
      </c>
      <c r="Y169" s="4">
        <f t="shared" ref="Y169:Y170" si="314">X169-W169</f>
        <v>-3.1383033773760616</v>
      </c>
      <c r="Z169" s="4">
        <f t="shared" ref="Z169:Z170" si="315">T169-S169</f>
        <v>-119</v>
      </c>
      <c r="AA169" s="4">
        <f t="shared" ref="AA169" si="316">V169-U169</f>
        <v>-2.2300000000000004</v>
      </c>
      <c r="AB169" s="4">
        <v>4</v>
      </c>
      <c r="AC169" s="11">
        <v>0.33513888888888888</v>
      </c>
      <c r="AD169" s="11">
        <v>0.33583333333333337</v>
      </c>
      <c r="AE169" s="4">
        <f t="shared" si="232"/>
        <v>60.000000000004583</v>
      </c>
      <c r="AF169" s="4">
        <f>(AD169-M169)*86400</f>
        <v>0</v>
      </c>
      <c r="AG169" s="4">
        <v>2</v>
      </c>
      <c r="AH169" s="4">
        <f t="shared" si="236"/>
        <v>3.3333333333333335</v>
      </c>
    </row>
    <row r="170" spans="1:34" x14ac:dyDescent="0.25">
      <c r="A170" s="3" t="s">
        <v>229</v>
      </c>
      <c r="B170" s="9">
        <v>43460</v>
      </c>
      <c r="C170" s="3">
        <v>3</v>
      </c>
      <c r="D170" s="3" t="s">
        <v>227</v>
      </c>
      <c r="E170" s="8">
        <v>0.66194444444444445</v>
      </c>
      <c r="F170" s="8">
        <v>0.66370370370370368</v>
      </c>
      <c r="G170" s="6">
        <f t="shared" si="289"/>
        <v>151.99999999999818</v>
      </c>
      <c r="H170" s="2">
        <v>1</v>
      </c>
      <c r="I170" s="2">
        <v>1</v>
      </c>
      <c r="J170" s="2">
        <v>68</v>
      </c>
      <c r="K170" s="2">
        <v>1</v>
      </c>
      <c r="L170" s="10">
        <v>0.66194444444444445</v>
      </c>
      <c r="M170" s="10">
        <v>0.66199074074074071</v>
      </c>
      <c r="N170" s="2">
        <f t="shared" si="290"/>
        <v>3.9999999999974278</v>
      </c>
      <c r="O170" s="2"/>
      <c r="P170" s="13">
        <f t="shared" si="311"/>
        <v>0</v>
      </c>
      <c r="Q170" s="2">
        <v>5</v>
      </c>
      <c r="R170" s="7">
        <f t="shared" si="294"/>
        <v>8.3333333333333339</v>
      </c>
      <c r="S170" s="4">
        <v>539</v>
      </c>
      <c r="T170" s="4">
        <v>431</v>
      </c>
      <c r="U170" s="4">
        <v>11.36</v>
      </c>
      <c r="V170" s="4">
        <v>9.7100000000000009</v>
      </c>
      <c r="W170" s="4">
        <f t="shared" ref="W170" si="317">S170/U170</f>
        <v>47.447183098591552</v>
      </c>
      <c r="X170" s="4">
        <f t="shared" ref="X170" si="318">T170/V170</f>
        <v>44.387229660144179</v>
      </c>
      <c r="Y170" s="4">
        <f t="shared" si="314"/>
        <v>-3.0599534384473728</v>
      </c>
      <c r="Z170" s="4">
        <f t="shared" si="315"/>
        <v>-108</v>
      </c>
      <c r="AA170" s="4">
        <f t="shared" ref="AA170" si="319">V170-U170</f>
        <v>-1.6499999999999986</v>
      </c>
      <c r="AB170" s="4">
        <v>2</v>
      </c>
      <c r="AC170" s="11">
        <v>0.66194444444444445</v>
      </c>
      <c r="AD170" s="11">
        <v>0.66203703703703709</v>
      </c>
      <c r="AE170" s="4">
        <f t="shared" si="232"/>
        <v>8.000000000004448</v>
      </c>
      <c r="AF170" s="4">
        <f>(AD174-M174)*86400</f>
        <v>63.999999999997215</v>
      </c>
      <c r="AG170" s="4">
        <v>8</v>
      </c>
      <c r="AH170" s="4">
        <f t="shared" si="236"/>
        <v>13.333333333333334</v>
      </c>
    </row>
    <row r="171" spans="1:34" x14ac:dyDescent="0.25">
      <c r="A171" s="3"/>
      <c r="B171" s="9">
        <v>43460</v>
      </c>
      <c r="C171" s="3">
        <v>3</v>
      </c>
      <c r="D171" s="3"/>
      <c r="E171" s="8"/>
      <c r="F171" s="8"/>
      <c r="G171" s="6">
        <f t="shared" si="289"/>
        <v>0</v>
      </c>
      <c r="H171" s="2">
        <v>1</v>
      </c>
      <c r="I171" s="2"/>
      <c r="J171" s="2"/>
      <c r="K171" s="2">
        <v>1</v>
      </c>
      <c r="L171" s="10">
        <v>0.66203703703703709</v>
      </c>
      <c r="M171" s="10">
        <v>0.66207175925925921</v>
      </c>
      <c r="N171" s="2">
        <f t="shared" si="290"/>
        <v>2.9999999999908766</v>
      </c>
      <c r="O171" s="2"/>
      <c r="P171" s="2"/>
      <c r="Q171" s="2"/>
      <c r="R171" s="7"/>
      <c r="S171" s="4"/>
      <c r="T171" s="4"/>
      <c r="U171" s="4"/>
      <c r="V171" s="4"/>
      <c r="W171" s="4"/>
      <c r="X171" s="4"/>
      <c r="Y171" s="4"/>
      <c r="Z171" s="4"/>
      <c r="AA171" s="4"/>
      <c r="AB171" s="4">
        <v>1</v>
      </c>
      <c r="AC171" s="11">
        <v>0.66203703703703709</v>
      </c>
      <c r="AD171" s="11">
        <v>0.66232638888888895</v>
      </c>
      <c r="AE171" s="4">
        <f t="shared" si="232"/>
        <v>25.000000000000711</v>
      </c>
      <c r="AF171" s="4"/>
      <c r="AG171" s="4"/>
      <c r="AH171" s="4"/>
    </row>
    <row r="172" spans="1:34" x14ac:dyDescent="0.25">
      <c r="A172" s="3"/>
      <c r="B172" s="9">
        <v>43460</v>
      </c>
      <c r="C172" s="3">
        <v>3</v>
      </c>
      <c r="D172" s="3"/>
      <c r="E172" s="8"/>
      <c r="F172" s="8"/>
      <c r="G172" s="6">
        <f t="shared" si="289"/>
        <v>0</v>
      </c>
      <c r="H172" s="2">
        <v>1</v>
      </c>
      <c r="I172" s="2"/>
      <c r="J172" s="2"/>
      <c r="K172" s="2">
        <v>1</v>
      </c>
      <c r="L172" s="10">
        <v>0.66232638888888895</v>
      </c>
      <c r="M172" s="10">
        <v>0.66237268518518522</v>
      </c>
      <c r="N172" s="2">
        <f t="shared" si="290"/>
        <v>3.9999999999974278</v>
      </c>
      <c r="O172" s="2"/>
      <c r="P172" s="2"/>
      <c r="Q172" s="2"/>
      <c r="R172" s="7"/>
      <c r="S172" s="4"/>
      <c r="T172" s="4"/>
      <c r="U172" s="4"/>
      <c r="V172" s="4"/>
      <c r="W172" s="4"/>
      <c r="X172" s="4"/>
      <c r="Y172" s="4"/>
      <c r="Z172" s="4"/>
      <c r="AA172" s="4"/>
      <c r="AB172" s="4">
        <v>1</v>
      </c>
      <c r="AC172" s="11">
        <v>0.66232638888888895</v>
      </c>
      <c r="AD172" s="11">
        <v>0.66248842592592594</v>
      </c>
      <c r="AE172" s="4">
        <f t="shared" si="232"/>
        <v>13.999999999995794</v>
      </c>
      <c r="AF172" s="4"/>
      <c r="AG172" s="4"/>
      <c r="AH172" s="4"/>
    </row>
    <row r="173" spans="1:34" x14ac:dyDescent="0.25">
      <c r="A173" s="3"/>
      <c r="B173" s="9">
        <v>43460</v>
      </c>
      <c r="C173" s="3">
        <v>3</v>
      </c>
      <c r="D173" s="3"/>
      <c r="E173" s="8"/>
      <c r="F173" s="8"/>
      <c r="G173" s="6">
        <f t="shared" si="289"/>
        <v>0</v>
      </c>
      <c r="H173" s="2">
        <v>1</v>
      </c>
      <c r="I173" s="2"/>
      <c r="J173" s="2"/>
      <c r="K173" s="2">
        <v>1</v>
      </c>
      <c r="L173" s="10">
        <v>0.66263888888888889</v>
      </c>
      <c r="M173" s="10">
        <v>0.66270833333333334</v>
      </c>
      <c r="N173" s="2">
        <f t="shared" si="290"/>
        <v>6.0000000000009379</v>
      </c>
      <c r="O173" s="2"/>
      <c r="P173" s="2"/>
      <c r="Q173" s="2"/>
      <c r="R173" s="7"/>
      <c r="S173" s="4"/>
      <c r="T173" s="4"/>
      <c r="U173" s="4"/>
      <c r="V173" s="4"/>
      <c r="W173" s="4"/>
      <c r="X173" s="4"/>
      <c r="Y173" s="4"/>
      <c r="Z173" s="4"/>
      <c r="AA173" s="4"/>
      <c r="AB173" s="4">
        <v>1</v>
      </c>
      <c r="AC173" s="11">
        <v>0.66263888888888889</v>
      </c>
      <c r="AD173" s="11">
        <v>0.66290509259259256</v>
      </c>
      <c r="AE173" s="4">
        <f t="shared" si="232"/>
        <v>22.9999999999972</v>
      </c>
      <c r="AF173" s="4"/>
      <c r="AG173" s="4"/>
      <c r="AH173" s="4"/>
    </row>
    <row r="174" spans="1:34" x14ac:dyDescent="0.25">
      <c r="A174" s="3"/>
      <c r="B174" s="9">
        <v>43460</v>
      </c>
      <c r="C174" s="3">
        <v>3</v>
      </c>
      <c r="D174" s="3"/>
      <c r="E174" s="8"/>
      <c r="F174" s="8"/>
      <c r="G174" s="6">
        <f t="shared" si="289"/>
        <v>0</v>
      </c>
      <c r="H174" s="2">
        <v>1</v>
      </c>
      <c r="I174" s="2"/>
      <c r="J174" s="2"/>
      <c r="K174" s="2">
        <v>1</v>
      </c>
      <c r="L174" s="10">
        <v>0.66293981481481479</v>
      </c>
      <c r="M174" s="10">
        <v>0.66296296296296298</v>
      </c>
      <c r="N174" s="2">
        <f t="shared" si="290"/>
        <v>2.0000000000035101</v>
      </c>
      <c r="O174" s="2"/>
      <c r="P174" s="2"/>
      <c r="Q174" s="2"/>
      <c r="R174" s="7"/>
      <c r="S174" s="4"/>
      <c r="T174" s="4"/>
      <c r="U174" s="4"/>
      <c r="V174" s="4"/>
      <c r="W174" s="4"/>
      <c r="X174" s="4"/>
      <c r="Y174" s="4"/>
      <c r="Z174" s="4"/>
      <c r="AA174" s="4"/>
      <c r="AB174" s="4">
        <v>2</v>
      </c>
      <c r="AC174" s="11">
        <v>0.66293981481481479</v>
      </c>
      <c r="AD174" s="11">
        <v>0.66370370370370368</v>
      </c>
      <c r="AE174" s="4">
        <f t="shared" si="232"/>
        <v>66.000000000000725</v>
      </c>
      <c r="AF174" s="4"/>
      <c r="AG174" s="4"/>
      <c r="AH174" s="4"/>
    </row>
    <row r="175" spans="1:34" x14ac:dyDescent="0.25">
      <c r="A175" s="3" t="s">
        <v>230</v>
      </c>
      <c r="B175" s="9">
        <v>43460</v>
      </c>
      <c r="C175" s="3">
        <v>3</v>
      </c>
      <c r="D175" s="3" t="s">
        <v>231</v>
      </c>
      <c r="E175" s="8">
        <v>0.72542824074074075</v>
      </c>
      <c r="F175" s="8">
        <v>0.72651620370370373</v>
      </c>
      <c r="G175" s="6">
        <f t="shared" si="289"/>
        <v>94.000000000001904</v>
      </c>
      <c r="H175" s="2">
        <v>2</v>
      </c>
      <c r="I175" s="2">
        <v>1</v>
      </c>
      <c r="J175" s="2">
        <v>122</v>
      </c>
      <c r="K175" s="2">
        <v>0</v>
      </c>
      <c r="L175" s="10">
        <v>0.72542824074074075</v>
      </c>
      <c r="M175" s="10">
        <v>0.72651620370370373</v>
      </c>
      <c r="N175" s="2">
        <f t="shared" si="290"/>
        <v>94.000000000001904</v>
      </c>
      <c r="O175" s="2"/>
      <c r="P175" s="13">
        <f t="shared" ref="P175:P179" si="320">(L175-E175)*86400</f>
        <v>0</v>
      </c>
      <c r="Q175" s="2">
        <v>0</v>
      </c>
      <c r="R175" s="7">
        <f t="shared" si="294"/>
        <v>0</v>
      </c>
      <c r="S175" s="4">
        <v>3</v>
      </c>
      <c r="T175" s="4"/>
      <c r="U175" s="4"/>
      <c r="V175" s="4"/>
      <c r="W175" s="4"/>
      <c r="X175" s="4"/>
      <c r="Y175" s="4">
        <f t="shared" ref="Y175:Y179" si="321">X175-W175</f>
        <v>0</v>
      </c>
      <c r="Z175" s="4">
        <f t="shared" ref="Z175:Z179" si="322">T175-S175</f>
        <v>-3</v>
      </c>
      <c r="AA175" s="4"/>
      <c r="AB175" s="4">
        <v>0</v>
      </c>
      <c r="AC175" s="11">
        <v>0.72542824074074075</v>
      </c>
      <c r="AD175" s="11">
        <v>0.72651620370370373</v>
      </c>
      <c r="AE175" s="4">
        <f t="shared" si="232"/>
        <v>94.000000000001904</v>
      </c>
      <c r="AF175" s="4">
        <f>(AD175-M175)*86400</f>
        <v>0</v>
      </c>
      <c r="AG175" s="4">
        <v>0</v>
      </c>
      <c r="AH175" s="4">
        <f t="shared" si="236"/>
        <v>0</v>
      </c>
    </row>
    <row r="176" spans="1:34" x14ac:dyDescent="0.25">
      <c r="A176" s="3" t="s">
        <v>232</v>
      </c>
      <c r="B176" s="9">
        <v>43460</v>
      </c>
      <c r="C176" s="3">
        <v>4</v>
      </c>
      <c r="D176" s="3" t="s">
        <v>233</v>
      </c>
      <c r="E176" s="8">
        <v>0.98222222222222222</v>
      </c>
      <c r="F176" s="8">
        <v>0.98600694444444448</v>
      </c>
      <c r="G176" s="6">
        <f t="shared" si="289"/>
        <v>327.00000000000318</v>
      </c>
      <c r="H176" s="2">
        <v>2</v>
      </c>
      <c r="I176" s="2">
        <v>1</v>
      </c>
      <c r="J176" s="2">
        <v>110</v>
      </c>
      <c r="K176" s="2">
        <v>0</v>
      </c>
      <c r="L176" s="10">
        <v>0.98222222222222222</v>
      </c>
      <c r="M176" s="10">
        <v>0.98600694444444448</v>
      </c>
      <c r="N176" s="2">
        <f t="shared" si="290"/>
        <v>327.00000000000318</v>
      </c>
      <c r="O176" s="2"/>
      <c r="P176" s="13">
        <f t="shared" si="320"/>
        <v>0</v>
      </c>
      <c r="Q176" s="2">
        <v>0</v>
      </c>
      <c r="R176" s="7">
        <f t="shared" si="294"/>
        <v>0</v>
      </c>
      <c r="S176" s="4">
        <v>4</v>
      </c>
      <c r="T176" s="4"/>
      <c r="U176" s="4"/>
      <c r="V176" s="4"/>
      <c r="W176" s="4"/>
      <c r="X176" s="4"/>
      <c r="Y176" s="4">
        <f t="shared" si="321"/>
        <v>0</v>
      </c>
      <c r="Z176" s="4">
        <f t="shared" si="322"/>
        <v>-4</v>
      </c>
      <c r="AA176" s="4"/>
      <c r="AB176" s="4">
        <v>0</v>
      </c>
      <c r="AC176" s="11">
        <v>0.98222222222222222</v>
      </c>
      <c r="AD176" s="11">
        <v>0.98600694444444448</v>
      </c>
      <c r="AE176" s="4">
        <f t="shared" si="232"/>
        <v>327.00000000000318</v>
      </c>
      <c r="AF176" s="4">
        <f>(AD176-M176)*86400</f>
        <v>0</v>
      </c>
      <c r="AG176" s="4">
        <v>0</v>
      </c>
      <c r="AH176" s="4">
        <f t="shared" si="236"/>
        <v>0</v>
      </c>
    </row>
    <row r="177" spans="1:34" x14ac:dyDescent="0.25">
      <c r="A177" s="3" t="s">
        <v>234</v>
      </c>
      <c r="B177" s="9">
        <v>43460</v>
      </c>
      <c r="C177" s="3">
        <v>4</v>
      </c>
      <c r="D177" s="3" t="s">
        <v>235</v>
      </c>
      <c r="E177" s="8">
        <v>1.4108796296296295E-2</v>
      </c>
      <c r="F177" s="8">
        <v>2.8923611111111108E-2</v>
      </c>
      <c r="G177" s="6">
        <f t="shared" si="289"/>
        <v>1280</v>
      </c>
      <c r="H177" s="2">
        <v>2</v>
      </c>
      <c r="I177" s="2">
        <v>1</v>
      </c>
      <c r="J177" s="2">
        <v>118</v>
      </c>
      <c r="K177" s="2">
        <v>0</v>
      </c>
      <c r="L177" s="10">
        <v>1.4108796296296295E-2</v>
      </c>
      <c r="M177" s="10">
        <v>2.8923611111111108E-2</v>
      </c>
      <c r="N177" s="2">
        <f t="shared" si="290"/>
        <v>1280</v>
      </c>
      <c r="O177" s="2"/>
      <c r="P177" s="13">
        <f t="shared" si="320"/>
        <v>0</v>
      </c>
      <c r="Q177" s="2">
        <v>0</v>
      </c>
      <c r="R177" s="7">
        <f t="shared" si="294"/>
        <v>0</v>
      </c>
      <c r="S177" s="4"/>
      <c r="T177" s="4"/>
      <c r="U177" s="4"/>
      <c r="V177" s="4"/>
      <c r="W177" s="4"/>
      <c r="X177" s="4"/>
      <c r="Y177" s="4">
        <f t="shared" si="321"/>
        <v>0</v>
      </c>
      <c r="Z177" s="4">
        <f t="shared" si="322"/>
        <v>0</v>
      </c>
      <c r="AA177" s="4"/>
      <c r="AB177" s="4">
        <v>0</v>
      </c>
      <c r="AC177" s="11">
        <v>1.4108796296296295E-2</v>
      </c>
      <c r="AD177" s="11">
        <v>2.8923611111111108E-2</v>
      </c>
      <c r="AE177" s="4">
        <f t="shared" si="232"/>
        <v>1280</v>
      </c>
      <c r="AF177" s="4">
        <f>(AD177-M177)*86400</f>
        <v>0</v>
      </c>
      <c r="AG177" s="4">
        <v>0</v>
      </c>
      <c r="AH177" s="4">
        <f t="shared" si="236"/>
        <v>0</v>
      </c>
    </row>
    <row r="178" spans="1:34" x14ac:dyDescent="0.25">
      <c r="A178" s="3" t="s">
        <v>236</v>
      </c>
      <c r="B178" s="9">
        <v>43461</v>
      </c>
      <c r="C178" s="3">
        <v>1</v>
      </c>
      <c r="D178" s="3" t="s">
        <v>237</v>
      </c>
      <c r="E178" s="8">
        <v>0.31158564814814815</v>
      </c>
      <c r="F178" s="8">
        <v>0.31336805555555552</v>
      </c>
      <c r="G178" s="6">
        <f t="shared" si="289"/>
        <v>153.9999999999969</v>
      </c>
      <c r="H178" s="2">
        <v>2</v>
      </c>
      <c r="I178" s="2">
        <v>1</v>
      </c>
      <c r="J178" s="2">
        <v>110</v>
      </c>
      <c r="K178" s="2">
        <v>0</v>
      </c>
      <c r="L178" s="10">
        <v>0.31158564814814815</v>
      </c>
      <c r="M178" s="10">
        <v>0.31336805555555552</v>
      </c>
      <c r="N178" s="2">
        <f t="shared" si="290"/>
        <v>153.9999999999969</v>
      </c>
      <c r="O178" s="2"/>
      <c r="P178" s="13">
        <f t="shared" si="320"/>
        <v>0</v>
      </c>
      <c r="Q178" s="2">
        <v>0</v>
      </c>
      <c r="R178" s="7">
        <f t="shared" si="294"/>
        <v>0</v>
      </c>
      <c r="S178" s="4">
        <v>396</v>
      </c>
      <c r="T178" s="4">
        <v>335</v>
      </c>
      <c r="U178" s="4">
        <v>13.98</v>
      </c>
      <c r="V178" s="4">
        <v>11.86</v>
      </c>
      <c r="W178" s="4">
        <f t="shared" ref="W178" si="323">S178/U178</f>
        <v>28.326180257510728</v>
      </c>
      <c r="X178" s="4">
        <f t="shared" ref="X178" si="324">T178/V178</f>
        <v>28.246205733558181</v>
      </c>
      <c r="Y178" s="4">
        <f t="shared" si="321"/>
        <v>-7.9974523952547116E-2</v>
      </c>
      <c r="Z178" s="4">
        <f t="shared" si="322"/>
        <v>-61</v>
      </c>
      <c r="AA178" s="4">
        <f t="shared" ref="AA178" si="325">V178-U178</f>
        <v>-2.120000000000001</v>
      </c>
      <c r="AB178" s="4">
        <v>4</v>
      </c>
      <c r="AC178" s="11">
        <v>0.31158564814814815</v>
      </c>
      <c r="AD178" s="11">
        <v>0.31336805555555552</v>
      </c>
      <c r="AE178" s="4">
        <f t="shared" si="232"/>
        <v>153.9999999999969</v>
      </c>
      <c r="AF178" s="4">
        <f>(AD178-M178)*86400</f>
        <v>0</v>
      </c>
      <c r="AG178" s="4">
        <v>1</v>
      </c>
      <c r="AH178" s="4">
        <f t="shared" si="236"/>
        <v>1.6666666666666667</v>
      </c>
    </row>
    <row r="179" spans="1:34" x14ac:dyDescent="0.25">
      <c r="A179" s="3" t="s">
        <v>239</v>
      </c>
      <c r="B179" s="9">
        <v>43461</v>
      </c>
      <c r="C179" s="3">
        <v>1</v>
      </c>
      <c r="D179" s="3" t="s">
        <v>238</v>
      </c>
      <c r="E179" s="8">
        <v>0.31668981481481479</v>
      </c>
      <c r="F179" s="8">
        <v>0.31733796296296296</v>
      </c>
      <c r="G179" s="6">
        <f t="shared" si="289"/>
        <v>56.000000000002359</v>
      </c>
      <c r="H179" s="2">
        <v>2</v>
      </c>
      <c r="I179" s="2">
        <v>1</v>
      </c>
      <c r="J179" s="2">
        <v>125</v>
      </c>
      <c r="K179" s="2">
        <v>1</v>
      </c>
      <c r="L179" s="10">
        <v>0.31668981481481479</v>
      </c>
      <c r="M179" s="10">
        <v>0.31671296296296297</v>
      </c>
      <c r="N179" s="2">
        <f t="shared" si="290"/>
        <v>2.0000000000035101</v>
      </c>
      <c r="O179" s="2"/>
      <c r="P179" s="13">
        <f t="shared" si="320"/>
        <v>0</v>
      </c>
      <c r="Q179" s="2">
        <v>1</v>
      </c>
      <c r="R179" s="7">
        <f t="shared" si="294"/>
        <v>1.6666666666666667</v>
      </c>
      <c r="S179" s="4">
        <v>370</v>
      </c>
      <c r="T179" s="4">
        <v>424</v>
      </c>
      <c r="U179" s="4">
        <v>12.65</v>
      </c>
      <c r="V179" s="4">
        <v>8.08</v>
      </c>
      <c r="W179" s="4">
        <f t="shared" ref="W179" si="326">S179/U179</f>
        <v>29.249011857707508</v>
      </c>
      <c r="X179" s="4">
        <f t="shared" ref="X179" si="327">T179/V179</f>
        <v>52.475247524752476</v>
      </c>
      <c r="Y179" s="4">
        <f t="shared" si="321"/>
        <v>23.226235667044968</v>
      </c>
      <c r="Z179" s="4">
        <f t="shared" si="322"/>
        <v>54</v>
      </c>
      <c r="AA179" s="4">
        <f t="shared" ref="AA179" si="328">V179-U179</f>
        <v>-4.57</v>
      </c>
      <c r="AB179" s="4">
        <v>3</v>
      </c>
      <c r="AC179" s="11">
        <v>0.31668981481481479</v>
      </c>
      <c r="AD179" s="11">
        <v>0.31673611111111111</v>
      </c>
      <c r="AE179" s="4">
        <f t="shared" si="232"/>
        <v>4.000000000002224</v>
      </c>
      <c r="AF179" s="4">
        <f>(AD180-M180)*86400</f>
        <v>0</v>
      </c>
      <c r="AG179" s="4">
        <v>3</v>
      </c>
      <c r="AH179" s="4">
        <f t="shared" si="236"/>
        <v>5</v>
      </c>
    </row>
    <row r="180" spans="1:34" x14ac:dyDescent="0.25">
      <c r="A180" s="3"/>
      <c r="B180" s="9">
        <v>43461</v>
      </c>
      <c r="C180" s="3">
        <v>1</v>
      </c>
      <c r="D180" s="3"/>
      <c r="E180" s="8"/>
      <c r="F180" s="8"/>
      <c r="G180" s="6">
        <f t="shared" si="289"/>
        <v>0</v>
      </c>
      <c r="H180" s="2">
        <v>2</v>
      </c>
      <c r="I180" s="2"/>
      <c r="J180" s="2"/>
      <c r="K180" s="2">
        <v>0</v>
      </c>
      <c r="L180" s="10">
        <v>0.31673611111111111</v>
      </c>
      <c r="M180" s="10">
        <v>0.31733796296296296</v>
      </c>
      <c r="N180" s="2">
        <f t="shared" si="290"/>
        <v>52.000000000000135</v>
      </c>
      <c r="O180" s="2"/>
      <c r="P180" s="2"/>
      <c r="Q180" s="2"/>
      <c r="R180" s="7"/>
      <c r="S180" s="4"/>
      <c r="T180" s="4"/>
      <c r="U180" s="4"/>
      <c r="V180" s="4"/>
      <c r="W180" s="4"/>
      <c r="X180" s="4"/>
      <c r="Y180" s="4"/>
      <c r="Z180" s="4"/>
      <c r="AA180" s="4"/>
      <c r="AB180" s="4">
        <v>4</v>
      </c>
      <c r="AC180" s="11">
        <v>0.31673611111111111</v>
      </c>
      <c r="AD180" s="11">
        <v>0.31733796296296296</v>
      </c>
      <c r="AE180" s="4">
        <f t="shared" si="232"/>
        <v>52.000000000000135</v>
      </c>
      <c r="AF180" s="4"/>
      <c r="AG180" s="4"/>
      <c r="AH180" s="4"/>
    </row>
    <row r="181" spans="1:34" x14ac:dyDescent="0.25">
      <c r="A181" s="3" t="s">
        <v>239</v>
      </c>
      <c r="B181" s="9">
        <v>43461</v>
      </c>
      <c r="C181" s="3">
        <v>1</v>
      </c>
      <c r="D181" s="3" t="s">
        <v>240</v>
      </c>
      <c r="E181" s="8">
        <v>0.31851851851851848</v>
      </c>
      <c r="F181" s="8">
        <v>0.31899305555555557</v>
      </c>
      <c r="G181" s="6">
        <f t="shared" si="289"/>
        <v>41.00000000000481</v>
      </c>
      <c r="H181" s="2">
        <v>2</v>
      </c>
      <c r="I181" s="2">
        <v>1</v>
      </c>
      <c r="J181" s="2">
        <v>125</v>
      </c>
      <c r="K181" s="2">
        <v>0</v>
      </c>
      <c r="L181" s="10">
        <v>0.31851851851851848</v>
      </c>
      <c r="M181" s="10">
        <v>0.31899305555555557</v>
      </c>
      <c r="N181" s="2">
        <f t="shared" si="290"/>
        <v>41.00000000000481</v>
      </c>
      <c r="O181" s="2"/>
      <c r="P181" s="13">
        <f t="shared" ref="P181:P184" si="329">(L181-E181)*86400</f>
        <v>0</v>
      </c>
      <c r="Q181" s="2">
        <v>0</v>
      </c>
      <c r="R181" s="7">
        <f t="shared" si="294"/>
        <v>0</v>
      </c>
      <c r="S181" s="4">
        <v>356</v>
      </c>
      <c r="T181" s="4">
        <v>247</v>
      </c>
      <c r="U181" s="4">
        <v>13.02</v>
      </c>
      <c r="V181" s="4">
        <v>10.38</v>
      </c>
      <c r="W181" s="4">
        <f t="shared" ref="W181" si="330">S181/U181</f>
        <v>27.342549923195087</v>
      </c>
      <c r="X181" s="4">
        <f t="shared" ref="X181" si="331">T181/V181</f>
        <v>23.795761078998073</v>
      </c>
      <c r="Y181" s="4">
        <f t="shared" ref="Y181:Y184" si="332">X181-W181</f>
        <v>-3.5467888441970139</v>
      </c>
      <c r="Z181" s="4">
        <f t="shared" ref="Z181:Z184" si="333">T181-S181</f>
        <v>-109</v>
      </c>
      <c r="AA181" s="4">
        <f t="shared" ref="AA181" si="334">V181-U181</f>
        <v>-2.6399999999999988</v>
      </c>
      <c r="AB181" s="4">
        <v>4</v>
      </c>
      <c r="AC181" s="11">
        <v>0.31851851851851848</v>
      </c>
      <c r="AD181" s="11">
        <v>0.31899305555555557</v>
      </c>
      <c r="AE181" s="4">
        <f t="shared" si="232"/>
        <v>41.00000000000481</v>
      </c>
      <c r="AF181" s="4">
        <f>(AD181-M181)*86400</f>
        <v>0</v>
      </c>
      <c r="AG181" s="4">
        <v>0</v>
      </c>
      <c r="AH181" s="4">
        <f t="shared" si="236"/>
        <v>0</v>
      </c>
    </row>
    <row r="182" spans="1:34" x14ac:dyDescent="0.25">
      <c r="A182" s="3" t="s">
        <v>241</v>
      </c>
      <c r="B182" s="9">
        <v>43461</v>
      </c>
      <c r="C182" s="3">
        <v>1</v>
      </c>
      <c r="D182" s="3" t="s">
        <v>242</v>
      </c>
      <c r="E182" s="8">
        <v>0.33556712962962965</v>
      </c>
      <c r="F182" s="8">
        <v>0.33729166666666671</v>
      </c>
      <c r="G182" s="6">
        <f t="shared" si="289"/>
        <v>149.0000000000025</v>
      </c>
      <c r="H182" s="2">
        <v>2</v>
      </c>
      <c r="I182" s="2">
        <v>1</v>
      </c>
      <c r="J182" s="2">
        <v>115</v>
      </c>
      <c r="K182" s="2">
        <v>0</v>
      </c>
      <c r="L182" s="10">
        <v>0.33556712962962965</v>
      </c>
      <c r="M182" s="10">
        <v>0.33729166666666671</v>
      </c>
      <c r="N182" s="2">
        <f t="shared" si="290"/>
        <v>149.0000000000025</v>
      </c>
      <c r="O182" s="2"/>
      <c r="P182" s="13">
        <f t="shared" si="329"/>
        <v>0</v>
      </c>
      <c r="Q182" s="2">
        <v>0</v>
      </c>
      <c r="R182" s="7">
        <f t="shared" si="294"/>
        <v>0</v>
      </c>
      <c r="S182" s="4">
        <v>416</v>
      </c>
      <c r="T182" s="4">
        <v>415</v>
      </c>
      <c r="U182" s="4">
        <v>13.28</v>
      </c>
      <c r="V182" s="4">
        <v>11.18</v>
      </c>
      <c r="W182" s="4">
        <f t="shared" ref="W182:W183" si="335">S182/U182</f>
        <v>31.325301204819279</v>
      </c>
      <c r="X182" s="4">
        <f t="shared" ref="X182:X183" si="336">T182/V182</f>
        <v>37.119856887298752</v>
      </c>
      <c r="Y182" s="4">
        <f t="shared" si="332"/>
        <v>5.7945556824794728</v>
      </c>
      <c r="Z182" s="4">
        <f t="shared" si="333"/>
        <v>-1</v>
      </c>
      <c r="AA182" s="4">
        <f t="shared" ref="AA182:AA183" si="337">V182-U182</f>
        <v>-2.0999999999999996</v>
      </c>
      <c r="AB182" s="4">
        <v>4</v>
      </c>
      <c r="AC182" s="11">
        <v>0.33556712962962965</v>
      </c>
      <c r="AD182" s="11">
        <v>0.33729166666666671</v>
      </c>
      <c r="AE182" s="4">
        <f t="shared" si="232"/>
        <v>149.0000000000025</v>
      </c>
      <c r="AF182" s="4">
        <f>(AD182-M182)*86400</f>
        <v>0</v>
      </c>
      <c r="AG182" s="4">
        <v>1</v>
      </c>
      <c r="AH182" s="4">
        <f t="shared" si="236"/>
        <v>1.6666666666666667</v>
      </c>
    </row>
    <row r="183" spans="1:34" x14ac:dyDescent="0.25">
      <c r="A183" s="3" t="s">
        <v>244</v>
      </c>
      <c r="B183" s="9">
        <v>43461</v>
      </c>
      <c r="C183" s="3">
        <v>1</v>
      </c>
      <c r="D183" s="3" t="s">
        <v>243</v>
      </c>
      <c r="E183" s="8">
        <v>0.34550925925925924</v>
      </c>
      <c r="F183" s="8">
        <v>0.34568287037037032</v>
      </c>
      <c r="G183" s="6">
        <f t="shared" si="289"/>
        <v>14.999999999997549</v>
      </c>
      <c r="H183" s="2">
        <v>1</v>
      </c>
      <c r="I183" s="2">
        <v>1</v>
      </c>
      <c r="J183" s="2">
        <v>84</v>
      </c>
      <c r="K183" s="2">
        <v>1</v>
      </c>
      <c r="L183" s="10">
        <v>0.34550925925925924</v>
      </c>
      <c r="M183" s="10">
        <v>0.34555555555555556</v>
      </c>
      <c r="N183" s="2">
        <f t="shared" si="290"/>
        <v>4.000000000002224</v>
      </c>
      <c r="O183" s="2"/>
      <c r="P183" s="13">
        <f t="shared" si="329"/>
        <v>0</v>
      </c>
      <c r="Q183" s="2">
        <v>1</v>
      </c>
      <c r="R183" s="7">
        <f t="shared" si="294"/>
        <v>1.6666666666666667</v>
      </c>
      <c r="S183" s="4">
        <v>414</v>
      </c>
      <c r="T183" s="4">
        <v>271</v>
      </c>
      <c r="U183" s="4">
        <v>12.91</v>
      </c>
      <c r="V183" s="4">
        <v>5.9</v>
      </c>
      <c r="W183" s="4">
        <f t="shared" si="335"/>
        <v>32.06816421378776</v>
      </c>
      <c r="X183" s="4">
        <f t="shared" si="336"/>
        <v>45.932203389830505</v>
      </c>
      <c r="Y183" s="4">
        <f t="shared" si="332"/>
        <v>13.864039176042745</v>
      </c>
      <c r="Z183" s="4">
        <f t="shared" si="333"/>
        <v>-143</v>
      </c>
      <c r="AA183" s="4">
        <f t="shared" si="337"/>
        <v>-7.01</v>
      </c>
      <c r="AB183" s="4">
        <v>3</v>
      </c>
      <c r="AC183" s="11">
        <v>0.34550925925925924</v>
      </c>
      <c r="AD183" s="11">
        <v>0.34568287037037032</v>
      </c>
      <c r="AE183" s="4">
        <f t="shared" si="232"/>
        <v>14.999999999997549</v>
      </c>
      <c r="AF183" s="4">
        <f>(AD183-M183)*86400</f>
        <v>10.999999999995325</v>
      </c>
      <c r="AG183" s="4">
        <v>2</v>
      </c>
      <c r="AH183" s="4">
        <f t="shared" si="236"/>
        <v>3.3333333333333335</v>
      </c>
    </row>
    <row r="184" spans="1:34" x14ac:dyDescent="0.25">
      <c r="A184" s="3" t="s">
        <v>246</v>
      </c>
      <c r="B184" s="9">
        <v>43461</v>
      </c>
      <c r="C184" s="3">
        <v>2</v>
      </c>
      <c r="D184" s="3" t="s">
        <v>245</v>
      </c>
      <c r="E184" s="8">
        <v>0.53118055555555554</v>
      </c>
      <c r="F184" s="8">
        <v>0.53203703703703698</v>
      </c>
      <c r="G184" s="6">
        <f t="shared" si="289"/>
        <v>73.99999999999558</v>
      </c>
      <c r="H184" s="2">
        <v>1</v>
      </c>
      <c r="I184" s="2">
        <v>1</v>
      </c>
      <c r="J184" s="2">
        <v>84</v>
      </c>
      <c r="K184" s="2">
        <v>1</v>
      </c>
      <c r="L184" s="10">
        <v>0.53118055555555554</v>
      </c>
      <c r="M184" s="10">
        <v>0.53125</v>
      </c>
      <c r="N184" s="2">
        <f t="shared" si="290"/>
        <v>6.0000000000009379</v>
      </c>
      <c r="O184" s="2"/>
      <c r="P184" s="13">
        <f t="shared" si="329"/>
        <v>0</v>
      </c>
      <c r="Q184" s="2">
        <v>2</v>
      </c>
      <c r="R184" s="7">
        <f t="shared" si="294"/>
        <v>3.3333333333333335</v>
      </c>
      <c r="S184" s="4">
        <v>18</v>
      </c>
      <c r="T184" s="4"/>
      <c r="U184" s="4"/>
      <c r="V184" s="4"/>
      <c r="W184" s="4"/>
      <c r="X184" s="4"/>
      <c r="Y184" s="4">
        <f t="shared" si="332"/>
        <v>0</v>
      </c>
      <c r="Z184" s="4">
        <f t="shared" si="333"/>
        <v>-18</v>
      </c>
      <c r="AA184" s="4"/>
      <c r="AB184" s="4">
        <v>1</v>
      </c>
      <c r="AC184" s="11"/>
      <c r="AD184" s="11"/>
      <c r="AE184" s="4">
        <f t="shared" si="232"/>
        <v>0</v>
      </c>
      <c r="AF184" s="4">
        <v>0</v>
      </c>
      <c r="AG184" s="4">
        <v>1</v>
      </c>
      <c r="AH184" s="4">
        <f t="shared" si="236"/>
        <v>1.6666666666666667</v>
      </c>
    </row>
    <row r="185" spans="1:34" x14ac:dyDescent="0.25">
      <c r="A185" s="3"/>
      <c r="B185" s="9">
        <v>43461</v>
      </c>
      <c r="C185" s="3">
        <v>2</v>
      </c>
      <c r="D185" s="3"/>
      <c r="E185" s="8"/>
      <c r="F185" s="8"/>
      <c r="G185" s="6">
        <f t="shared" ref="G185:G208" si="338">(F185-E185)*86400</f>
        <v>0</v>
      </c>
      <c r="H185" s="2">
        <v>1</v>
      </c>
      <c r="I185" s="2"/>
      <c r="J185" s="2"/>
      <c r="K185" s="2">
        <v>1</v>
      </c>
      <c r="L185" s="10">
        <v>0.53153935185185186</v>
      </c>
      <c r="M185" s="10">
        <v>0.53159722222222217</v>
      </c>
      <c r="N185" s="2">
        <f t="shared" ref="N185:N208" si="339">(M185-L185)*86400</f>
        <v>4.9999999999943867</v>
      </c>
      <c r="O185" s="2"/>
      <c r="P185" s="2"/>
      <c r="Q185" s="2"/>
      <c r="R185" s="7"/>
      <c r="S185" s="4">
        <v>12</v>
      </c>
      <c r="T185" s="4"/>
      <c r="U185" s="4"/>
      <c r="V185" s="4"/>
      <c r="W185" s="4"/>
      <c r="X185" s="4"/>
      <c r="Y185" s="4"/>
      <c r="Z185" s="4"/>
      <c r="AA185" s="4"/>
      <c r="AB185" s="4">
        <v>0</v>
      </c>
      <c r="AC185" s="11"/>
      <c r="AD185" s="11"/>
      <c r="AE185" s="4">
        <f t="shared" ref="AE185:AE224" si="340">(AD185-AC185)*86400</f>
        <v>0</v>
      </c>
      <c r="AF185" s="4"/>
      <c r="AG185" s="4"/>
      <c r="AH185" s="4"/>
    </row>
    <row r="186" spans="1:34" x14ac:dyDescent="0.25">
      <c r="A186" s="3"/>
      <c r="B186" s="9">
        <v>43461</v>
      </c>
      <c r="C186" s="3">
        <v>2</v>
      </c>
      <c r="D186" s="3"/>
      <c r="E186" s="8"/>
      <c r="F186" s="8"/>
      <c r="G186" s="6">
        <f t="shared" si="338"/>
        <v>0</v>
      </c>
      <c r="H186" s="2">
        <v>1</v>
      </c>
      <c r="I186" s="2"/>
      <c r="J186" s="2"/>
      <c r="K186" s="2">
        <v>0</v>
      </c>
      <c r="L186" s="10">
        <v>0.53194444444444444</v>
      </c>
      <c r="M186" s="10">
        <v>0.53203703703703698</v>
      </c>
      <c r="N186" s="2">
        <f t="shared" si="339"/>
        <v>7.9999999999948557</v>
      </c>
      <c r="O186" s="2"/>
      <c r="P186" s="2"/>
      <c r="Q186" s="2"/>
      <c r="R186" s="7"/>
      <c r="S186" s="4"/>
      <c r="T186" s="4"/>
      <c r="U186" s="4"/>
      <c r="V186" s="4"/>
      <c r="W186" s="4"/>
      <c r="X186" s="4"/>
      <c r="Y186" s="4"/>
      <c r="Z186" s="4"/>
      <c r="AA186" s="4"/>
      <c r="AB186" s="4">
        <v>0</v>
      </c>
      <c r="AC186" s="11"/>
      <c r="AD186" s="11"/>
      <c r="AE186" s="4">
        <f t="shared" si="340"/>
        <v>0</v>
      </c>
      <c r="AF186" s="4"/>
      <c r="AG186" s="4"/>
      <c r="AH186" s="4"/>
    </row>
    <row r="187" spans="1:34" x14ac:dyDescent="0.25">
      <c r="A187" s="3" t="s">
        <v>248</v>
      </c>
      <c r="B187" s="9">
        <v>43461</v>
      </c>
      <c r="C187" s="3">
        <v>3</v>
      </c>
      <c r="D187" s="3" t="s">
        <v>247</v>
      </c>
      <c r="E187" s="8">
        <v>0.66224537037037035</v>
      </c>
      <c r="F187" s="8">
        <v>0.66461805555555553</v>
      </c>
      <c r="G187" s="6">
        <f t="shared" si="338"/>
        <v>205.00000000000006</v>
      </c>
      <c r="H187" s="2">
        <v>2</v>
      </c>
      <c r="I187" s="2">
        <v>1</v>
      </c>
      <c r="J187" s="2">
        <v>75</v>
      </c>
      <c r="K187" s="2">
        <v>0</v>
      </c>
      <c r="L187" s="10">
        <v>0.66224537037037035</v>
      </c>
      <c r="M187" s="10">
        <v>0.66289351851851852</v>
      </c>
      <c r="N187" s="2">
        <f t="shared" si="339"/>
        <v>56.000000000002359</v>
      </c>
      <c r="O187" s="2"/>
      <c r="P187" s="13">
        <f>(L187-E187)*86400</f>
        <v>0</v>
      </c>
      <c r="Q187" s="2">
        <v>0</v>
      </c>
      <c r="R187" s="7">
        <f t="shared" si="294"/>
        <v>0</v>
      </c>
      <c r="S187" s="4">
        <v>482</v>
      </c>
      <c r="T187" s="4">
        <v>458</v>
      </c>
      <c r="U187" s="4">
        <v>13.28</v>
      </c>
      <c r="V187" s="4">
        <v>10.77</v>
      </c>
      <c r="W187" s="4">
        <f t="shared" ref="W187" si="341">S187/U187</f>
        <v>36.295180722891565</v>
      </c>
      <c r="X187" s="4">
        <f t="shared" ref="X187" si="342">T187/V187</f>
        <v>42.5255338904364</v>
      </c>
      <c r="Y187" s="4">
        <f>X187-W187</f>
        <v>6.230353167544834</v>
      </c>
      <c r="Z187" s="4">
        <f>T187-S187</f>
        <v>-24</v>
      </c>
      <c r="AA187" s="4">
        <f t="shared" ref="AA187" si="343">V187-U187</f>
        <v>-2.5099999999999998</v>
      </c>
      <c r="AB187" s="4">
        <v>5</v>
      </c>
      <c r="AC187" s="11">
        <v>0.66224537037037035</v>
      </c>
      <c r="AD187" s="11">
        <v>0.66289351851851852</v>
      </c>
      <c r="AE187" s="4">
        <f t="shared" si="340"/>
        <v>56.000000000002359</v>
      </c>
      <c r="AF187" s="4">
        <f>(AD188-M188)*86400</f>
        <v>0</v>
      </c>
      <c r="AG187" s="4">
        <v>6</v>
      </c>
      <c r="AH187" s="4">
        <f t="shared" ref="AH187:AH224" si="344">AG187/0.6</f>
        <v>10</v>
      </c>
    </row>
    <row r="188" spans="1:34" x14ac:dyDescent="0.25">
      <c r="A188" s="3"/>
      <c r="B188" s="9">
        <v>43461</v>
      </c>
      <c r="C188" s="3">
        <v>3</v>
      </c>
      <c r="D188" s="3"/>
      <c r="E188" s="8"/>
      <c r="F188" s="8"/>
      <c r="G188" s="6">
        <f t="shared" si="338"/>
        <v>0</v>
      </c>
      <c r="H188" s="2">
        <v>2</v>
      </c>
      <c r="I188" s="2"/>
      <c r="J188" s="2"/>
      <c r="K188" s="2">
        <v>0</v>
      </c>
      <c r="L188" s="10">
        <v>0.66356481481481489</v>
      </c>
      <c r="M188" s="10">
        <v>0.66461805555555553</v>
      </c>
      <c r="N188" s="2">
        <f t="shared" si="339"/>
        <v>90.999999999991843</v>
      </c>
      <c r="O188" s="2"/>
      <c r="P188" s="2"/>
      <c r="Q188" s="2"/>
      <c r="R188" s="7"/>
      <c r="S188" s="4"/>
      <c r="T188" s="4"/>
      <c r="U188" s="4"/>
      <c r="V188" s="4"/>
      <c r="W188" s="4"/>
      <c r="X188" s="4"/>
      <c r="Y188" s="4"/>
      <c r="Z188" s="4"/>
      <c r="AA188" s="4"/>
      <c r="AB188" s="4">
        <v>4</v>
      </c>
      <c r="AC188" s="11">
        <v>0.66356481481481489</v>
      </c>
      <c r="AD188" s="11">
        <v>0.66461805555555553</v>
      </c>
      <c r="AE188" s="4">
        <f t="shared" si="340"/>
        <v>90.999999999991843</v>
      </c>
      <c r="AF188" s="4"/>
      <c r="AG188" s="4"/>
      <c r="AH188" s="4"/>
    </row>
    <row r="189" spans="1:34" x14ac:dyDescent="0.25">
      <c r="A189" s="3" t="s">
        <v>250</v>
      </c>
      <c r="B189" s="9">
        <v>43461</v>
      </c>
      <c r="C189" s="3">
        <v>3</v>
      </c>
      <c r="D189" s="3" t="s">
        <v>249</v>
      </c>
      <c r="E189" s="8">
        <v>0.67103009259259261</v>
      </c>
      <c r="F189" s="8">
        <v>0.67192129629629627</v>
      </c>
      <c r="G189" s="6">
        <f t="shared" si="338"/>
        <v>76.999999999996049</v>
      </c>
      <c r="H189" s="2">
        <v>2</v>
      </c>
      <c r="I189" s="2">
        <v>1</v>
      </c>
      <c r="J189" s="2">
        <v>100</v>
      </c>
      <c r="K189" s="2">
        <v>1</v>
      </c>
      <c r="L189" s="10">
        <v>0.67103009259259261</v>
      </c>
      <c r="M189" s="10">
        <v>0.67107638888888888</v>
      </c>
      <c r="N189" s="2">
        <f t="shared" si="339"/>
        <v>3.9999999999974278</v>
      </c>
      <c r="O189" s="2"/>
      <c r="P189" s="13">
        <f>(L189-E189)*86400</f>
        <v>0</v>
      </c>
      <c r="Q189" s="2">
        <v>1</v>
      </c>
      <c r="R189" s="7">
        <f t="shared" si="294"/>
        <v>1.6666666666666667</v>
      </c>
      <c r="S189" s="4">
        <v>538</v>
      </c>
      <c r="T189" s="4">
        <v>319</v>
      </c>
      <c r="U189" s="4">
        <v>13.3</v>
      </c>
      <c r="V189" s="4">
        <v>9.52</v>
      </c>
      <c r="W189" s="4">
        <f t="shared" ref="W189" si="345">S189/U189</f>
        <v>40.451127819548873</v>
      </c>
      <c r="X189" s="4">
        <f t="shared" ref="X189" si="346">T189/V189</f>
        <v>33.508403361344541</v>
      </c>
      <c r="Y189" s="4">
        <f>X189-W189</f>
        <v>-6.9427244582043315</v>
      </c>
      <c r="Z189" s="4">
        <f>T189-S189</f>
        <v>-219</v>
      </c>
      <c r="AA189" s="4">
        <f t="shared" ref="AA189" si="347">V189-U189</f>
        <v>-3.7800000000000011</v>
      </c>
      <c r="AB189" s="4">
        <v>3</v>
      </c>
      <c r="AC189" s="11">
        <v>0.67103009259259261</v>
      </c>
      <c r="AD189" s="11">
        <v>0.67108796296296302</v>
      </c>
      <c r="AE189" s="4">
        <f t="shared" si="340"/>
        <v>5.000000000003979</v>
      </c>
      <c r="AF189" s="4">
        <f>(AD190-M190)*86400</f>
        <v>0</v>
      </c>
      <c r="AG189" s="4">
        <v>2</v>
      </c>
      <c r="AH189" s="4">
        <f t="shared" si="344"/>
        <v>3.3333333333333335</v>
      </c>
    </row>
    <row r="190" spans="1:34" x14ac:dyDescent="0.25">
      <c r="A190" s="3"/>
      <c r="B190" s="9">
        <v>43461</v>
      </c>
      <c r="C190" s="3">
        <v>3</v>
      </c>
      <c r="D190" s="3"/>
      <c r="E190" s="8"/>
      <c r="F190" s="8"/>
      <c r="G190" s="6">
        <f t="shared" si="338"/>
        <v>0</v>
      </c>
      <c r="H190" s="2">
        <v>2</v>
      </c>
      <c r="I190" s="2"/>
      <c r="J190" s="2"/>
      <c r="K190" s="2">
        <v>0</v>
      </c>
      <c r="L190" s="10">
        <v>0.67108796296296302</v>
      </c>
      <c r="M190" s="10">
        <v>0.67192129629629627</v>
      </c>
      <c r="N190" s="2">
        <f t="shared" si="339"/>
        <v>71.99999999999207</v>
      </c>
      <c r="O190" s="2"/>
      <c r="P190" s="2"/>
      <c r="Q190" s="2"/>
      <c r="R190" s="7"/>
      <c r="S190" s="4"/>
      <c r="T190" s="4"/>
      <c r="U190" s="4"/>
      <c r="V190" s="4"/>
      <c r="W190" s="4"/>
      <c r="X190" s="4"/>
      <c r="Y190" s="4"/>
      <c r="Z190" s="4"/>
      <c r="AA190" s="4"/>
      <c r="AB190" s="4">
        <v>4</v>
      </c>
      <c r="AC190" s="11">
        <v>0.67108796296296302</v>
      </c>
      <c r="AD190" s="11">
        <v>0.67192129629629627</v>
      </c>
      <c r="AE190" s="4">
        <f t="shared" si="340"/>
        <v>71.99999999999207</v>
      </c>
      <c r="AF190" s="4"/>
      <c r="AG190" s="4"/>
      <c r="AH190" s="4"/>
    </row>
    <row r="191" spans="1:34" x14ac:dyDescent="0.25">
      <c r="A191" s="3" t="s">
        <v>252</v>
      </c>
      <c r="B191" s="9">
        <v>43461</v>
      </c>
      <c r="C191" s="3">
        <v>3</v>
      </c>
      <c r="D191" s="3" t="s">
        <v>251</v>
      </c>
      <c r="E191" s="8">
        <v>0.6796875</v>
      </c>
      <c r="F191" s="8">
        <v>0.68156250000000007</v>
      </c>
      <c r="G191" s="6">
        <f t="shared" si="338"/>
        <v>162.00000000000614</v>
      </c>
      <c r="H191" s="2">
        <v>2</v>
      </c>
      <c r="I191" s="2">
        <v>1</v>
      </c>
      <c r="J191" s="2">
        <v>113</v>
      </c>
      <c r="K191" s="2">
        <v>0</v>
      </c>
      <c r="L191" s="10">
        <v>0.6796875</v>
      </c>
      <c r="M191" s="10">
        <v>0.68156250000000007</v>
      </c>
      <c r="N191" s="2">
        <f t="shared" si="339"/>
        <v>162.00000000000614</v>
      </c>
      <c r="O191" s="2"/>
      <c r="P191" s="13">
        <f t="shared" ref="P191:P196" si="348">(L191-E191)*86400</f>
        <v>0</v>
      </c>
      <c r="Q191" s="2">
        <v>0</v>
      </c>
      <c r="R191" s="7">
        <f t="shared" si="294"/>
        <v>0</v>
      </c>
      <c r="S191" s="4">
        <v>489</v>
      </c>
      <c r="T191" s="4">
        <v>324</v>
      </c>
      <c r="U191" s="4">
        <v>13.02</v>
      </c>
      <c r="V191" s="4">
        <v>10.72</v>
      </c>
      <c r="W191" s="4">
        <f t="shared" ref="W191" si="349">S191/U191</f>
        <v>37.557603686635943</v>
      </c>
      <c r="X191" s="4">
        <f t="shared" ref="X191" si="350">T191/V191</f>
        <v>30.223880597014922</v>
      </c>
      <c r="Y191" s="4">
        <f t="shared" ref="Y191:Y196" si="351">X191-W191</f>
        <v>-7.3337230896210208</v>
      </c>
      <c r="Z191" s="4">
        <f t="shared" ref="Z191:Z196" si="352">T191-S191</f>
        <v>-165</v>
      </c>
      <c r="AA191" s="4">
        <f t="shared" ref="AA191" si="353">V191-U191</f>
        <v>-2.2999999999999989</v>
      </c>
      <c r="AB191" s="4">
        <v>4</v>
      </c>
      <c r="AC191" s="11">
        <v>0.6796875</v>
      </c>
      <c r="AD191" s="11">
        <v>0.68156250000000007</v>
      </c>
      <c r="AE191" s="4">
        <f t="shared" si="340"/>
        <v>162.00000000000614</v>
      </c>
      <c r="AF191" s="4">
        <f>(AD191-M191)*86400</f>
        <v>0</v>
      </c>
      <c r="AG191" s="4">
        <v>2</v>
      </c>
      <c r="AH191" s="4">
        <f t="shared" si="344"/>
        <v>3.3333333333333335</v>
      </c>
    </row>
    <row r="192" spans="1:34" x14ac:dyDescent="0.25">
      <c r="A192" s="3" t="s">
        <v>253</v>
      </c>
      <c r="B192" s="9">
        <v>43462</v>
      </c>
      <c r="C192" s="3">
        <v>1</v>
      </c>
      <c r="D192" s="3" t="s">
        <v>254</v>
      </c>
      <c r="E192" s="8">
        <v>0.29644675925925928</v>
      </c>
      <c r="F192" s="8">
        <v>0.29783564814814817</v>
      </c>
      <c r="G192" s="6">
        <f t="shared" si="338"/>
        <v>119.99999999999957</v>
      </c>
      <c r="H192" s="2">
        <v>2</v>
      </c>
      <c r="I192" s="2">
        <v>1</v>
      </c>
      <c r="J192" s="2">
        <v>116</v>
      </c>
      <c r="K192" s="2">
        <v>0</v>
      </c>
      <c r="L192" s="10">
        <v>0.29644675925925928</v>
      </c>
      <c r="M192" s="10">
        <v>0.29783564814814817</v>
      </c>
      <c r="N192" s="2">
        <f t="shared" si="339"/>
        <v>119.99999999999957</v>
      </c>
      <c r="O192" s="2"/>
      <c r="P192" s="13">
        <f t="shared" si="348"/>
        <v>0</v>
      </c>
      <c r="Q192" s="2">
        <v>0</v>
      </c>
      <c r="R192" s="7">
        <f t="shared" si="294"/>
        <v>0</v>
      </c>
      <c r="S192" s="4"/>
      <c r="T192" s="4"/>
      <c r="U192" s="4"/>
      <c r="V192" s="4"/>
      <c r="W192" s="4"/>
      <c r="X192" s="4"/>
      <c r="Y192" s="4">
        <f t="shared" si="351"/>
        <v>0</v>
      </c>
      <c r="Z192" s="4">
        <f t="shared" si="352"/>
        <v>0</v>
      </c>
      <c r="AA192" s="4"/>
      <c r="AB192" s="4">
        <v>4</v>
      </c>
      <c r="AC192" s="11">
        <v>0.29644675925925928</v>
      </c>
      <c r="AD192" s="11">
        <v>0.29783564814814817</v>
      </c>
      <c r="AE192" s="4">
        <f t="shared" si="340"/>
        <v>119.99999999999957</v>
      </c>
      <c r="AF192" s="4">
        <f>(AD192-M192)*86400</f>
        <v>0</v>
      </c>
      <c r="AG192" s="4">
        <v>0</v>
      </c>
      <c r="AH192" s="4">
        <f t="shared" si="344"/>
        <v>0</v>
      </c>
    </row>
    <row r="193" spans="1:34" x14ac:dyDescent="0.25">
      <c r="A193" s="3" t="s">
        <v>256</v>
      </c>
      <c r="B193" s="9">
        <v>43462</v>
      </c>
      <c r="C193" s="3">
        <v>1</v>
      </c>
      <c r="D193" s="3" t="s">
        <v>255</v>
      </c>
      <c r="E193" s="8">
        <v>0.30607638888888888</v>
      </c>
      <c r="F193" s="8">
        <v>0.30640046296296297</v>
      </c>
      <c r="G193" s="6">
        <f t="shared" si="338"/>
        <v>28.00000000000118</v>
      </c>
      <c r="H193" s="2">
        <v>2</v>
      </c>
      <c r="I193" s="2">
        <v>1</v>
      </c>
      <c r="J193" s="2">
        <v>121</v>
      </c>
      <c r="K193" s="2">
        <v>0</v>
      </c>
      <c r="L193" s="10">
        <v>0.30607638888888888</v>
      </c>
      <c r="M193" s="10">
        <v>0.30640046296296297</v>
      </c>
      <c r="N193" s="2">
        <f t="shared" si="339"/>
        <v>28.00000000000118</v>
      </c>
      <c r="O193" s="2"/>
      <c r="P193" s="13">
        <f t="shared" si="348"/>
        <v>0</v>
      </c>
      <c r="Q193" s="2">
        <v>0</v>
      </c>
      <c r="R193" s="7">
        <f t="shared" si="294"/>
        <v>0</v>
      </c>
      <c r="S193" s="4"/>
      <c r="T193" s="4"/>
      <c r="U193" s="4"/>
      <c r="V193" s="4"/>
      <c r="W193" s="4"/>
      <c r="X193" s="4"/>
      <c r="Y193" s="4">
        <f t="shared" si="351"/>
        <v>0</v>
      </c>
      <c r="Z193" s="4">
        <f t="shared" si="352"/>
        <v>0</v>
      </c>
      <c r="AA193" s="4"/>
      <c r="AB193" s="4">
        <v>4</v>
      </c>
      <c r="AC193" s="11">
        <v>0.30607638888888888</v>
      </c>
      <c r="AD193" s="11">
        <v>0.30640046296296297</v>
      </c>
      <c r="AE193" s="4">
        <f t="shared" si="340"/>
        <v>28.00000000000118</v>
      </c>
      <c r="AF193" s="4">
        <f>(AD193-M193)*86400</f>
        <v>0</v>
      </c>
      <c r="AG193" s="4">
        <v>0</v>
      </c>
      <c r="AH193" s="4">
        <f t="shared" si="344"/>
        <v>0</v>
      </c>
    </row>
    <row r="194" spans="1:34" x14ac:dyDescent="0.25">
      <c r="A194" s="3" t="s">
        <v>256</v>
      </c>
      <c r="B194" s="9">
        <v>43462</v>
      </c>
      <c r="C194" s="3">
        <v>1</v>
      </c>
      <c r="D194" s="3" t="s">
        <v>258</v>
      </c>
      <c r="E194" s="8">
        <v>0.31148148148148147</v>
      </c>
      <c r="F194" s="8">
        <v>0.31439814814814815</v>
      </c>
      <c r="G194" s="6">
        <f t="shared" si="338"/>
        <v>252.00000000000102</v>
      </c>
      <c r="H194" s="2">
        <v>2</v>
      </c>
      <c r="I194" s="2">
        <v>1</v>
      </c>
      <c r="J194" s="2">
        <v>121</v>
      </c>
      <c r="K194" s="2">
        <v>0</v>
      </c>
      <c r="L194" s="10">
        <v>0.31148148148148147</v>
      </c>
      <c r="M194" s="10">
        <v>0.31439814814814815</v>
      </c>
      <c r="N194" s="2">
        <f t="shared" si="339"/>
        <v>252.00000000000102</v>
      </c>
      <c r="O194" s="2"/>
      <c r="P194" s="13">
        <f t="shared" si="348"/>
        <v>0</v>
      </c>
      <c r="Q194" s="2">
        <v>0</v>
      </c>
      <c r="R194" s="7">
        <f t="shared" si="294"/>
        <v>0</v>
      </c>
      <c r="S194" s="4"/>
      <c r="T194" s="4"/>
      <c r="U194" s="4"/>
      <c r="V194" s="4"/>
      <c r="W194" s="4"/>
      <c r="X194" s="4"/>
      <c r="Y194" s="4">
        <f t="shared" si="351"/>
        <v>0</v>
      </c>
      <c r="Z194" s="4">
        <f t="shared" si="352"/>
        <v>0</v>
      </c>
      <c r="AA194" s="4"/>
      <c r="AB194" s="4">
        <v>4</v>
      </c>
      <c r="AC194" s="11">
        <v>0.31148148148148147</v>
      </c>
      <c r="AD194" s="11">
        <v>0.31439814814814815</v>
      </c>
      <c r="AE194" s="4">
        <f t="shared" si="340"/>
        <v>252.00000000000102</v>
      </c>
      <c r="AF194" s="4">
        <f>(AD194-M194)*86400</f>
        <v>0</v>
      </c>
      <c r="AG194" s="4">
        <v>3</v>
      </c>
      <c r="AH194" s="4">
        <f t="shared" si="344"/>
        <v>5</v>
      </c>
    </row>
    <row r="195" spans="1:34" x14ac:dyDescent="0.25">
      <c r="A195" s="3" t="s">
        <v>257</v>
      </c>
      <c r="B195" s="9">
        <v>43462</v>
      </c>
      <c r="C195" s="3">
        <v>1</v>
      </c>
      <c r="D195" s="3" t="s">
        <v>260</v>
      </c>
      <c r="E195" s="8">
        <v>0.31692129629629628</v>
      </c>
      <c r="F195" s="8">
        <v>0.31875000000000003</v>
      </c>
      <c r="G195" s="6">
        <f t="shared" si="338"/>
        <v>158.00000000000392</v>
      </c>
      <c r="H195" s="2">
        <v>2</v>
      </c>
      <c r="I195" s="2">
        <v>1</v>
      </c>
      <c r="J195" s="2">
        <v>118</v>
      </c>
      <c r="K195" s="2">
        <v>0</v>
      </c>
      <c r="L195" s="10">
        <v>0.31692129629629628</v>
      </c>
      <c r="M195" s="10">
        <v>0.31875000000000003</v>
      </c>
      <c r="N195" s="2">
        <f t="shared" si="339"/>
        <v>158.00000000000392</v>
      </c>
      <c r="O195" s="2"/>
      <c r="P195" s="13">
        <f t="shared" si="348"/>
        <v>0</v>
      </c>
      <c r="Q195" s="2">
        <v>0</v>
      </c>
      <c r="R195" s="7">
        <f t="shared" si="294"/>
        <v>0</v>
      </c>
      <c r="S195" s="4"/>
      <c r="T195" s="4"/>
      <c r="U195" s="4"/>
      <c r="V195" s="4"/>
      <c r="W195" s="4"/>
      <c r="X195" s="4"/>
      <c r="Y195" s="4">
        <f t="shared" si="351"/>
        <v>0</v>
      </c>
      <c r="Z195" s="4">
        <f t="shared" si="352"/>
        <v>0</v>
      </c>
      <c r="AA195" s="4"/>
      <c r="AB195" s="4">
        <v>4</v>
      </c>
      <c r="AC195" s="11">
        <v>0.31692129629629628</v>
      </c>
      <c r="AD195" s="11">
        <v>0.31875000000000003</v>
      </c>
      <c r="AE195" s="4">
        <f t="shared" si="340"/>
        <v>158.00000000000392</v>
      </c>
      <c r="AF195" s="4">
        <f>(AD195-M195)*86400</f>
        <v>0</v>
      </c>
      <c r="AG195" s="4">
        <v>2</v>
      </c>
      <c r="AH195" s="4">
        <f t="shared" si="344"/>
        <v>3.3333333333333335</v>
      </c>
    </row>
    <row r="196" spans="1:34" x14ac:dyDescent="0.25">
      <c r="A196" s="3" t="s">
        <v>259</v>
      </c>
      <c r="B196" s="9">
        <v>43462</v>
      </c>
      <c r="C196" s="3">
        <v>1</v>
      </c>
      <c r="D196" s="3" t="s">
        <v>261</v>
      </c>
      <c r="E196" s="8">
        <v>0.32393518518518521</v>
      </c>
      <c r="F196" s="8">
        <v>0.32572916666666668</v>
      </c>
      <c r="G196" s="6">
        <f t="shared" si="338"/>
        <v>154.99999999999864</v>
      </c>
      <c r="H196" s="2">
        <v>2</v>
      </c>
      <c r="I196" s="2">
        <v>1</v>
      </c>
      <c r="J196" s="2">
        <v>109</v>
      </c>
      <c r="K196" s="2">
        <v>1</v>
      </c>
      <c r="L196" s="10">
        <v>0.32396990740740739</v>
      </c>
      <c r="M196" s="10">
        <v>0.32399305555555552</v>
      </c>
      <c r="N196" s="2">
        <f t="shared" si="339"/>
        <v>1.9999999999987139</v>
      </c>
      <c r="O196" s="2"/>
      <c r="P196" s="13">
        <f t="shared" si="348"/>
        <v>2.9999999999956728</v>
      </c>
      <c r="Q196" s="2">
        <v>1</v>
      </c>
      <c r="R196" s="7">
        <f t="shared" si="294"/>
        <v>1.6666666666666667</v>
      </c>
      <c r="S196" s="4">
        <v>440</v>
      </c>
      <c r="T196" s="4">
        <v>382</v>
      </c>
      <c r="U196" s="4">
        <v>13.45</v>
      </c>
      <c r="V196" s="4">
        <v>10.63</v>
      </c>
      <c r="W196" s="4">
        <f t="shared" ref="W196" si="354">S196/U196</f>
        <v>32.713754646840151</v>
      </c>
      <c r="X196" s="4">
        <f t="shared" ref="X196" si="355">T196/V196</f>
        <v>35.936030103480711</v>
      </c>
      <c r="Y196" s="4">
        <f t="shared" si="351"/>
        <v>3.2222754566405598</v>
      </c>
      <c r="Z196" s="4">
        <f t="shared" si="352"/>
        <v>-58</v>
      </c>
      <c r="AA196" s="4">
        <f t="shared" ref="AA196" si="356">V196-U196</f>
        <v>-2.8199999999999985</v>
      </c>
      <c r="AB196" s="4">
        <v>3</v>
      </c>
      <c r="AC196" s="11">
        <v>0.32396990740740739</v>
      </c>
      <c r="AD196" s="11">
        <v>0.32421296296296293</v>
      </c>
      <c r="AE196" s="4">
        <f t="shared" si="340"/>
        <v>20.999999999998487</v>
      </c>
      <c r="AF196" s="4">
        <f>(AD197-M197)*86400</f>
        <v>3.000000000000469</v>
      </c>
      <c r="AG196" s="4">
        <v>4</v>
      </c>
      <c r="AH196" s="4">
        <f t="shared" si="344"/>
        <v>6.666666666666667</v>
      </c>
    </row>
    <row r="197" spans="1:34" x14ac:dyDescent="0.25">
      <c r="A197" s="3"/>
      <c r="B197" s="9">
        <v>43462</v>
      </c>
      <c r="C197" s="3">
        <v>1</v>
      </c>
      <c r="D197" s="3"/>
      <c r="E197" s="8"/>
      <c r="F197" s="8"/>
      <c r="G197" s="6"/>
      <c r="H197" s="2">
        <v>2</v>
      </c>
      <c r="I197" s="2"/>
      <c r="J197" s="2"/>
      <c r="K197" s="2">
        <v>0</v>
      </c>
      <c r="L197" s="10">
        <v>0.32421296296296293</v>
      </c>
      <c r="M197" s="10">
        <v>0.32569444444444445</v>
      </c>
      <c r="N197" s="2">
        <f t="shared" si="339"/>
        <v>128.00000000000404</v>
      </c>
      <c r="O197" s="2"/>
      <c r="P197" s="2"/>
      <c r="Q197" s="2"/>
      <c r="R197" s="7"/>
      <c r="S197" s="4"/>
      <c r="T197" s="4"/>
      <c r="U197" s="4"/>
      <c r="V197" s="4"/>
      <c r="W197" s="4"/>
      <c r="X197" s="4"/>
      <c r="Y197" s="4"/>
      <c r="Z197" s="4"/>
      <c r="AA197" s="4"/>
      <c r="AB197" s="4">
        <v>4</v>
      </c>
      <c r="AC197" s="11">
        <v>0.32421296296296293</v>
      </c>
      <c r="AD197" s="11">
        <v>0.32572916666666668</v>
      </c>
      <c r="AE197" s="4">
        <f t="shared" si="340"/>
        <v>131.00000000000449</v>
      </c>
      <c r="AF197" s="4"/>
      <c r="AG197" s="4"/>
      <c r="AH197" s="4"/>
    </row>
    <row r="198" spans="1:34" x14ac:dyDescent="0.25">
      <c r="A198" s="3" t="s">
        <v>263</v>
      </c>
      <c r="B198" s="9">
        <v>43462</v>
      </c>
      <c r="C198" s="3">
        <v>1</v>
      </c>
      <c r="D198" s="3" t="s">
        <v>262</v>
      </c>
      <c r="E198" s="8">
        <v>0.3263888888888889</v>
      </c>
      <c r="F198" s="8">
        <v>0.32751157407407411</v>
      </c>
      <c r="G198" s="6">
        <f t="shared" si="338"/>
        <v>97.000000000002373</v>
      </c>
      <c r="H198" s="2">
        <v>2</v>
      </c>
      <c r="I198" s="2">
        <v>1</v>
      </c>
      <c r="J198" s="2">
        <v>132</v>
      </c>
      <c r="K198" s="2">
        <v>0</v>
      </c>
      <c r="L198" s="10">
        <v>0.3263888888888889</v>
      </c>
      <c r="M198" s="10">
        <v>0.32751157407407411</v>
      </c>
      <c r="N198" s="2">
        <f t="shared" si="339"/>
        <v>97.000000000002373</v>
      </c>
      <c r="O198" s="2"/>
      <c r="P198" s="13">
        <f t="shared" ref="P198:P199" si="357">(L198-E198)*86400</f>
        <v>0</v>
      </c>
      <c r="Q198" s="2">
        <v>0</v>
      </c>
      <c r="R198" s="7">
        <f t="shared" si="294"/>
        <v>0</v>
      </c>
      <c r="S198" s="4"/>
      <c r="T198" s="4"/>
      <c r="U198" s="4"/>
      <c r="V198" s="4"/>
      <c r="W198" s="4"/>
      <c r="X198" s="4"/>
      <c r="Y198" s="4">
        <f t="shared" ref="Y198:Y199" si="358">X198-W198</f>
        <v>0</v>
      </c>
      <c r="Z198" s="4">
        <f t="shared" ref="Z198:Z199" si="359">T198-S198</f>
        <v>0</v>
      </c>
      <c r="AA198" s="4"/>
      <c r="AB198" s="4">
        <v>4</v>
      </c>
      <c r="AC198" s="11">
        <v>0.3263888888888889</v>
      </c>
      <c r="AD198" s="11">
        <v>0.32751157407407411</v>
      </c>
      <c r="AE198" s="4">
        <f t="shared" si="340"/>
        <v>97.000000000002373</v>
      </c>
      <c r="AF198" s="4">
        <f>(AD198-M198)*86400</f>
        <v>0</v>
      </c>
      <c r="AG198" s="4">
        <v>1</v>
      </c>
      <c r="AH198" s="4">
        <f t="shared" si="344"/>
        <v>1.6666666666666667</v>
      </c>
    </row>
    <row r="199" spans="1:34" x14ac:dyDescent="0.25">
      <c r="A199" s="3" t="s">
        <v>263</v>
      </c>
      <c r="B199" s="9">
        <v>43462</v>
      </c>
      <c r="C199" s="3">
        <v>1</v>
      </c>
      <c r="D199" s="3" t="s">
        <v>264</v>
      </c>
      <c r="E199" s="8">
        <v>0.32849537037037035</v>
      </c>
      <c r="F199" s="8">
        <v>0.33428240740740739</v>
      </c>
      <c r="G199" s="6">
        <f t="shared" si="338"/>
        <v>499.99999999999983</v>
      </c>
      <c r="H199" s="2">
        <v>2</v>
      </c>
      <c r="I199" s="2">
        <v>1</v>
      </c>
      <c r="J199" s="2">
        <v>132</v>
      </c>
      <c r="K199" s="2">
        <v>1</v>
      </c>
      <c r="L199" s="10">
        <v>0.32862268518518517</v>
      </c>
      <c r="M199" s="10">
        <v>0.3286574074074074</v>
      </c>
      <c r="N199" s="2">
        <f t="shared" si="339"/>
        <v>3.000000000000469</v>
      </c>
      <c r="O199" s="2"/>
      <c r="P199" s="13">
        <f t="shared" si="357"/>
        <v>11.000000000000121</v>
      </c>
      <c r="Q199" s="2">
        <v>1</v>
      </c>
      <c r="R199" s="7">
        <f t="shared" si="294"/>
        <v>1.6666666666666667</v>
      </c>
      <c r="S199" s="4">
        <v>456</v>
      </c>
      <c r="T199" s="4">
        <v>313</v>
      </c>
      <c r="U199" s="4">
        <v>14.01</v>
      </c>
      <c r="V199" s="4">
        <v>10.88</v>
      </c>
      <c r="W199" s="4">
        <f t="shared" ref="W199" si="360">S199/U199</f>
        <v>32.54817987152034</v>
      </c>
      <c r="X199" s="4">
        <f t="shared" ref="X199" si="361">T199/V199</f>
        <v>28.768382352941174</v>
      </c>
      <c r="Y199" s="4">
        <f t="shared" si="358"/>
        <v>-3.7797975185791657</v>
      </c>
      <c r="Z199" s="4">
        <f t="shared" si="359"/>
        <v>-143</v>
      </c>
      <c r="AA199" s="4">
        <f t="shared" ref="AA199" si="362">V199-U199</f>
        <v>-3.129999999999999</v>
      </c>
      <c r="AB199" s="4">
        <v>3</v>
      </c>
      <c r="AC199" s="11">
        <v>0.32863425925925926</v>
      </c>
      <c r="AD199" s="11">
        <v>0.32874999999999999</v>
      </c>
      <c r="AE199" s="4">
        <f t="shared" si="340"/>
        <v>9.9999999999983658</v>
      </c>
      <c r="AF199" s="4">
        <f>(AD200-M200)*86400</f>
        <v>0</v>
      </c>
      <c r="AG199" s="4">
        <v>4</v>
      </c>
      <c r="AH199" s="4">
        <f t="shared" si="344"/>
        <v>6.666666666666667</v>
      </c>
    </row>
    <row r="200" spans="1:34" x14ac:dyDescent="0.25">
      <c r="A200" s="3"/>
      <c r="B200" s="9">
        <v>43462</v>
      </c>
      <c r="C200" s="3">
        <v>1</v>
      </c>
      <c r="D200" s="3"/>
      <c r="E200" s="8"/>
      <c r="F200" s="8"/>
      <c r="G200" s="6">
        <f t="shared" si="338"/>
        <v>0</v>
      </c>
      <c r="H200" s="2">
        <v>2</v>
      </c>
      <c r="I200" s="2"/>
      <c r="J200" s="2"/>
      <c r="K200" s="2">
        <v>0</v>
      </c>
      <c r="L200" s="10">
        <v>0.32874999999999999</v>
      </c>
      <c r="M200" s="10">
        <v>0.33428240740740739</v>
      </c>
      <c r="N200" s="2">
        <f t="shared" si="339"/>
        <v>477.9999999999996</v>
      </c>
      <c r="O200" s="2"/>
      <c r="P200" s="2"/>
      <c r="Q200" s="2"/>
      <c r="R200" s="7"/>
      <c r="S200" s="4"/>
      <c r="T200" s="4"/>
      <c r="U200" s="4"/>
      <c r="V200" s="4"/>
      <c r="W200" s="4"/>
      <c r="X200" s="4"/>
      <c r="Y200" s="4"/>
      <c r="Z200" s="4"/>
      <c r="AA200" s="4"/>
      <c r="AB200" s="4">
        <v>4</v>
      </c>
      <c r="AC200" s="11">
        <v>0.32874999999999999</v>
      </c>
      <c r="AD200" s="11">
        <v>0.33428240740740739</v>
      </c>
      <c r="AE200" s="4">
        <f t="shared" si="340"/>
        <v>477.9999999999996</v>
      </c>
      <c r="AF200" s="4"/>
      <c r="AG200" s="4"/>
      <c r="AH200" s="4"/>
    </row>
    <row r="201" spans="1:34" x14ac:dyDescent="0.25">
      <c r="A201" s="3" t="s">
        <v>266</v>
      </c>
      <c r="B201" s="9">
        <v>43462</v>
      </c>
      <c r="C201" s="3">
        <v>1</v>
      </c>
      <c r="D201" s="3" t="s">
        <v>265</v>
      </c>
      <c r="E201" s="8">
        <v>0.33795138888888893</v>
      </c>
      <c r="F201" s="8">
        <v>0.34211805555555558</v>
      </c>
      <c r="G201" s="6">
        <f t="shared" si="338"/>
        <v>359.99999999999875</v>
      </c>
      <c r="H201" s="2">
        <v>2</v>
      </c>
      <c r="I201" s="2">
        <v>1</v>
      </c>
      <c r="J201" s="2">
        <v>118</v>
      </c>
      <c r="K201" s="2">
        <v>0</v>
      </c>
      <c r="L201" s="10">
        <v>0.33795138888888893</v>
      </c>
      <c r="M201" s="10">
        <v>0.34211805555555558</v>
      </c>
      <c r="N201" s="2">
        <f t="shared" si="339"/>
        <v>359.99999999999875</v>
      </c>
      <c r="O201" s="2"/>
      <c r="P201" s="13">
        <f t="shared" ref="P201:P206" si="363">(L201-E201)*86400</f>
        <v>0</v>
      </c>
      <c r="Q201" s="2">
        <v>0</v>
      </c>
      <c r="R201" s="7">
        <f t="shared" si="294"/>
        <v>0</v>
      </c>
      <c r="S201" s="4"/>
      <c r="T201" s="4"/>
      <c r="U201" s="4"/>
      <c r="V201" s="4"/>
      <c r="W201" s="4"/>
      <c r="X201" s="4"/>
      <c r="Y201" s="4">
        <f t="shared" ref="Y201:Y206" si="364">X201-W201</f>
        <v>0</v>
      </c>
      <c r="Z201" s="4">
        <f t="shared" ref="Z201:Z206" si="365">T201-S201</f>
        <v>0</v>
      </c>
      <c r="AA201" s="4"/>
      <c r="AB201" s="4">
        <v>4</v>
      </c>
      <c r="AC201" s="11">
        <v>0.33795138888888893</v>
      </c>
      <c r="AD201" s="11">
        <v>0.34211805555555558</v>
      </c>
      <c r="AE201" s="4">
        <f t="shared" si="340"/>
        <v>359.99999999999875</v>
      </c>
      <c r="AF201" s="4">
        <f>(AD201-M201)*86400</f>
        <v>0</v>
      </c>
      <c r="AG201" s="4">
        <v>4</v>
      </c>
      <c r="AH201" s="4">
        <f t="shared" si="344"/>
        <v>6.666666666666667</v>
      </c>
    </row>
    <row r="202" spans="1:34" x14ac:dyDescent="0.25">
      <c r="A202" s="3" t="s">
        <v>268</v>
      </c>
      <c r="B202" s="9">
        <v>43462</v>
      </c>
      <c r="C202" s="3">
        <v>1</v>
      </c>
      <c r="D202" s="3" t="s">
        <v>267</v>
      </c>
      <c r="E202" s="8">
        <v>0.34703703703703703</v>
      </c>
      <c r="F202" s="8">
        <v>0.34773148148148153</v>
      </c>
      <c r="G202" s="6">
        <f t="shared" si="338"/>
        <v>60.000000000004583</v>
      </c>
      <c r="H202" s="2">
        <v>2</v>
      </c>
      <c r="I202" s="2">
        <v>1</v>
      </c>
      <c r="J202" s="2">
        <v>121</v>
      </c>
      <c r="K202" s="2">
        <v>0</v>
      </c>
      <c r="L202" s="10">
        <v>0.34703703703703703</v>
      </c>
      <c r="M202" s="10">
        <v>0.34773148148148153</v>
      </c>
      <c r="N202" s="2">
        <f t="shared" si="339"/>
        <v>60.000000000004583</v>
      </c>
      <c r="O202" s="2"/>
      <c r="P202" s="13">
        <f t="shared" si="363"/>
        <v>0</v>
      </c>
      <c r="Q202" s="2">
        <v>0</v>
      </c>
      <c r="R202" s="7">
        <f t="shared" si="294"/>
        <v>0</v>
      </c>
      <c r="S202" s="4"/>
      <c r="T202" s="4"/>
      <c r="U202" s="4"/>
      <c r="V202" s="4"/>
      <c r="W202" s="4"/>
      <c r="X202" s="4"/>
      <c r="Y202" s="4">
        <f t="shared" si="364"/>
        <v>0</v>
      </c>
      <c r="Z202" s="4">
        <f t="shared" si="365"/>
        <v>0</v>
      </c>
      <c r="AA202" s="4"/>
      <c r="AB202" s="4">
        <v>4</v>
      </c>
      <c r="AC202" s="11">
        <v>0.34703703703703703</v>
      </c>
      <c r="AD202" s="11">
        <v>0.34773148148148153</v>
      </c>
      <c r="AE202" s="4">
        <f t="shared" si="340"/>
        <v>60.000000000004583</v>
      </c>
      <c r="AF202" s="4">
        <f>(AD202-M202)*86400</f>
        <v>0</v>
      </c>
      <c r="AG202" s="4">
        <v>3</v>
      </c>
      <c r="AH202" s="4">
        <f t="shared" si="344"/>
        <v>5</v>
      </c>
    </row>
    <row r="203" spans="1:34" x14ac:dyDescent="0.25">
      <c r="A203" s="3" t="s">
        <v>269</v>
      </c>
      <c r="B203" s="9">
        <v>43462</v>
      </c>
      <c r="C203" s="3">
        <v>2</v>
      </c>
      <c r="D203" s="3" t="s">
        <v>270</v>
      </c>
      <c r="E203" s="8">
        <v>0.52510416666666659</v>
      </c>
      <c r="F203" s="8">
        <v>0.52543981481481483</v>
      </c>
      <c r="G203" s="6">
        <f t="shared" si="338"/>
        <v>29.000000000007731</v>
      </c>
      <c r="H203" s="2">
        <v>2</v>
      </c>
      <c r="I203" s="2">
        <v>1</v>
      </c>
      <c r="J203" s="2">
        <v>119</v>
      </c>
      <c r="K203" s="2">
        <v>0</v>
      </c>
      <c r="L203" s="10">
        <v>0.52510416666666659</v>
      </c>
      <c r="M203" s="10">
        <v>0.52543981481481483</v>
      </c>
      <c r="N203" s="2">
        <f t="shared" si="339"/>
        <v>29.000000000007731</v>
      </c>
      <c r="O203" s="2"/>
      <c r="P203" s="13">
        <f t="shared" si="363"/>
        <v>0</v>
      </c>
      <c r="Q203" s="2">
        <v>0</v>
      </c>
      <c r="R203" s="7">
        <f t="shared" si="294"/>
        <v>0</v>
      </c>
      <c r="S203" s="4"/>
      <c r="T203" s="4"/>
      <c r="U203" s="4"/>
      <c r="V203" s="4"/>
      <c r="W203" s="4"/>
      <c r="X203" s="4"/>
      <c r="Y203" s="4">
        <f t="shared" si="364"/>
        <v>0</v>
      </c>
      <c r="Z203" s="4">
        <f t="shared" si="365"/>
        <v>0</v>
      </c>
      <c r="AA203" s="4"/>
      <c r="AB203" s="4">
        <v>4</v>
      </c>
      <c r="AC203" s="11">
        <v>0.52510416666666659</v>
      </c>
      <c r="AD203" s="11">
        <v>0.52543981481481483</v>
      </c>
      <c r="AE203" s="4">
        <f t="shared" si="340"/>
        <v>29.000000000007731</v>
      </c>
      <c r="AF203" s="4">
        <f>(AD203-M203)*86400</f>
        <v>0</v>
      </c>
      <c r="AG203" s="4">
        <v>0</v>
      </c>
      <c r="AH203" s="4">
        <f t="shared" si="344"/>
        <v>0</v>
      </c>
    </row>
    <row r="204" spans="1:34" x14ac:dyDescent="0.25">
      <c r="A204" s="3" t="s">
        <v>271</v>
      </c>
      <c r="B204" s="9">
        <v>43462</v>
      </c>
      <c r="C204" s="3">
        <v>2</v>
      </c>
      <c r="D204" s="3" t="s">
        <v>272</v>
      </c>
      <c r="E204" s="8">
        <v>0.53472222222222221</v>
      </c>
      <c r="F204" s="8">
        <v>0.5380787037037037</v>
      </c>
      <c r="G204" s="6">
        <f t="shared" si="338"/>
        <v>290.00000000000057</v>
      </c>
      <c r="H204" s="2">
        <v>2</v>
      </c>
      <c r="I204" s="2">
        <v>1</v>
      </c>
      <c r="J204" s="2">
        <v>134</v>
      </c>
      <c r="K204" s="2">
        <v>0</v>
      </c>
      <c r="L204" s="10">
        <v>0.53472222222222221</v>
      </c>
      <c r="M204" s="10">
        <v>0.5380787037037037</v>
      </c>
      <c r="N204" s="2">
        <f t="shared" si="339"/>
        <v>290.00000000000057</v>
      </c>
      <c r="O204" s="2"/>
      <c r="P204" s="13">
        <f t="shared" si="363"/>
        <v>0</v>
      </c>
      <c r="Q204" s="2">
        <v>0</v>
      </c>
      <c r="R204" s="7">
        <f t="shared" si="294"/>
        <v>0</v>
      </c>
      <c r="S204" s="4"/>
      <c r="T204" s="4"/>
      <c r="U204" s="4"/>
      <c r="V204" s="4"/>
      <c r="W204" s="4"/>
      <c r="X204" s="4"/>
      <c r="Y204" s="4">
        <f t="shared" si="364"/>
        <v>0</v>
      </c>
      <c r="Z204" s="4">
        <f t="shared" si="365"/>
        <v>0</v>
      </c>
      <c r="AA204" s="4"/>
      <c r="AB204" s="4">
        <v>4</v>
      </c>
      <c r="AC204" s="11">
        <v>0.53472222222222221</v>
      </c>
      <c r="AD204" s="11">
        <v>0.5380787037037037</v>
      </c>
      <c r="AE204" s="4">
        <f t="shared" si="340"/>
        <v>290.00000000000057</v>
      </c>
      <c r="AF204" s="4">
        <f>(AD204-M204)*86400</f>
        <v>0</v>
      </c>
      <c r="AG204" s="4">
        <v>0</v>
      </c>
      <c r="AH204" s="4">
        <f t="shared" si="344"/>
        <v>0</v>
      </c>
    </row>
    <row r="205" spans="1:34" x14ac:dyDescent="0.25">
      <c r="A205" s="3" t="s">
        <v>271</v>
      </c>
      <c r="B205" s="9">
        <v>43462</v>
      </c>
      <c r="C205" s="3">
        <v>2</v>
      </c>
      <c r="D205" s="3" t="s">
        <v>273</v>
      </c>
      <c r="E205" s="8">
        <v>0.54114583333333333</v>
      </c>
      <c r="F205" s="8">
        <v>0.54289351851851853</v>
      </c>
      <c r="G205" s="6">
        <f t="shared" si="338"/>
        <v>151.00000000000122</v>
      </c>
      <c r="H205" s="2">
        <v>2</v>
      </c>
      <c r="I205" s="2">
        <v>1</v>
      </c>
      <c r="J205" s="2">
        <v>105</v>
      </c>
      <c r="K205" s="2">
        <v>0</v>
      </c>
      <c r="L205" s="10">
        <v>0.54114583333333333</v>
      </c>
      <c r="M205" s="10">
        <v>0.54289351851851853</v>
      </c>
      <c r="N205" s="2">
        <f t="shared" si="339"/>
        <v>151.00000000000122</v>
      </c>
      <c r="O205" s="2"/>
      <c r="P205" s="13">
        <f t="shared" si="363"/>
        <v>0</v>
      </c>
      <c r="Q205" s="2">
        <v>0</v>
      </c>
      <c r="R205" s="7">
        <f t="shared" si="294"/>
        <v>0</v>
      </c>
      <c r="S205" s="4"/>
      <c r="T205" s="4"/>
      <c r="U205" s="4"/>
      <c r="V205" s="4"/>
      <c r="W205" s="4"/>
      <c r="X205" s="4"/>
      <c r="Y205" s="4">
        <f t="shared" si="364"/>
        <v>0</v>
      </c>
      <c r="Z205" s="4">
        <f t="shared" si="365"/>
        <v>0</v>
      </c>
      <c r="AA205" s="4"/>
      <c r="AB205" s="4">
        <v>4</v>
      </c>
      <c r="AC205" s="11">
        <v>0.54114583333333333</v>
      </c>
      <c r="AD205" s="11">
        <v>0.54289351851851853</v>
      </c>
      <c r="AE205" s="4">
        <f t="shared" si="340"/>
        <v>151.00000000000122</v>
      </c>
      <c r="AF205" s="4">
        <f>(AD205-M205)*86400</f>
        <v>0</v>
      </c>
      <c r="AG205" s="4">
        <v>0</v>
      </c>
      <c r="AH205" s="4">
        <f t="shared" si="344"/>
        <v>0</v>
      </c>
    </row>
    <row r="206" spans="1:34" x14ac:dyDescent="0.25">
      <c r="A206" s="3" t="s">
        <v>274</v>
      </c>
      <c r="B206" s="9">
        <v>43462</v>
      </c>
      <c r="C206" s="3">
        <v>2</v>
      </c>
      <c r="D206" s="3" t="s">
        <v>275</v>
      </c>
      <c r="E206" s="8">
        <v>0.55951388888888887</v>
      </c>
      <c r="F206" s="8">
        <v>0.55996527777777783</v>
      </c>
      <c r="G206" s="6">
        <f t="shared" si="338"/>
        <v>39.000000000006096</v>
      </c>
      <c r="H206" s="2">
        <v>1</v>
      </c>
      <c r="I206" s="2">
        <v>2</v>
      </c>
      <c r="J206" s="2">
        <v>89</v>
      </c>
      <c r="K206" s="2">
        <v>1</v>
      </c>
      <c r="L206" s="10">
        <v>0.55951388888888887</v>
      </c>
      <c r="M206" s="10">
        <v>0.55953703703703705</v>
      </c>
      <c r="N206" s="2">
        <f t="shared" si="339"/>
        <v>2.0000000000035101</v>
      </c>
      <c r="O206" s="2"/>
      <c r="P206" s="13">
        <f t="shared" si="363"/>
        <v>0</v>
      </c>
      <c r="Q206" s="2">
        <v>3</v>
      </c>
      <c r="R206" s="7">
        <f t="shared" si="294"/>
        <v>5</v>
      </c>
      <c r="S206" s="4">
        <v>147</v>
      </c>
      <c r="T206" s="4">
        <v>243</v>
      </c>
      <c r="U206" s="4">
        <v>2.94</v>
      </c>
      <c r="V206" s="4">
        <v>6.36</v>
      </c>
      <c r="W206" s="4">
        <f t="shared" ref="W206" si="366">S206/U206</f>
        <v>50</v>
      </c>
      <c r="X206" s="4">
        <f t="shared" ref="X206" si="367">T206/V206</f>
        <v>38.20754716981132</v>
      </c>
      <c r="Y206" s="4">
        <f t="shared" si="364"/>
        <v>-11.79245283018868</v>
      </c>
      <c r="Z206" s="4">
        <f t="shared" si="365"/>
        <v>96</v>
      </c>
      <c r="AA206" s="4">
        <f t="shared" ref="AA206" si="368">V206-U206</f>
        <v>3.4200000000000004</v>
      </c>
      <c r="AB206" s="4">
        <v>2</v>
      </c>
      <c r="AC206" s="11">
        <v>0.55951388888888887</v>
      </c>
      <c r="AD206" s="11">
        <v>0.55964120370370374</v>
      </c>
      <c r="AE206" s="4">
        <f t="shared" si="340"/>
        <v>11.000000000004917</v>
      </c>
      <c r="AF206" s="4">
        <f>(AD208-M208)*86400</f>
        <v>18.999999999999773</v>
      </c>
      <c r="AG206" s="4">
        <v>3</v>
      </c>
      <c r="AH206" s="4">
        <f t="shared" si="344"/>
        <v>5</v>
      </c>
    </row>
    <row r="207" spans="1:34" x14ac:dyDescent="0.25">
      <c r="A207" s="3"/>
      <c r="B207" s="9">
        <v>43462</v>
      </c>
      <c r="C207" s="3">
        <v>2</v>
      </c>
      <c r="D207" s="3"/>
      <c r="E207" s="8"/>
      <c r="F207" s="8"/>
      <c r="G207" s="6">
        <f t="shared" si="338"/>
        <v>0</v>
      </c>
      <c r="H207" s="2">
        <v>1</v>
      </c>
      <c r="I207" s="2"/>
      <c r="J207" s="2"/>
      <c r="K207" s="2">
        <v>1</v>
      </c>
      <c r="L207" s="10">
        <v>0.55971064814814808</v>
      </c>
      <c r="M207" s="10">
        <v>0.55974537037037042</v>
      </c>
      <c r="N207" s="2">
        <f t="shared" si="339"/>
        <v>3.0000000000100613</v>
      </c>
      <c r="O207" s="2"/>
      <c r="P207" s="2"/>
      <c r="Q207" s="2"/>
      <c r="R207" s="7"/>
      <c r="S207" s="4"/>
      <c r="T207" s="4"/>
      <c r="U207" s="4"/>
      <c r="V207" s="4"/>
      <c r="W207" s="4"/>
      <c r="X207" s="4"/>
      <c r="Y207" s="4"/>
      <c r="Z207" s="4"/>
      <c r="AA207" s="4"/>
      <c r="AB207" s="4">
        <v>2</v>
      </c>
      <c r="AC207" s="11">
        <v>0.55971064814814808</v>
      </c>
      <c r="AD207" s="11">
        <v>0.55979166666666669</v>
      </c>
      <c r="AE207" s="4">
        <f t="shared" si="340"/>
        <v>7.0000000000074891</v>
      </c>
      <c r="AF207" s="4"/>
      <c r="AG207" s="4"/>
      <c r="AH207" s="4"/>
    </row>
    <row r="208" spans="1:34" x14ac:dyDescent="0.25">
      <c r="A208" s="3"/>
      <c r="B208" s="9">
        <v>43462</v>
      </c>
      <c r="C208" s="3">
        <v>2</v>
      </c>
      <c r="D208" s="3"/>
      <c r="E208" s="8"/>
      <c r="F208" s="8"/>
      <c r="G208" s="6">
        <f t="shared" si="338"/>
        <v>0</v>
      </c>
      <c r="H208" s="2">
        <v>1</v>
      </c>
      <c r="I208" s="2"/>
      <c r="J208" s="2"/>
      <c r="K208" s="2">
        <v>1</v>
      </c>
      <c r="L208" s="10">
        <v>0.55971064814814808</v>
      </c>
      <c r="M208" s="10">
        <v>0.55974537037037042</v>
      </c>
      <c r="N208" s="2">
        <f t="shared" si="339"/>
        <v>3.0000000000100613</v>
      </c>
      <c r="O208" s="2"/>
      <c r="P208" s="2"/>
      <c r="Q208" s="2"/>
      <c r="R208" s="7"/>
      <c r="S208" s="4"/>
      <c r="T208" s="4"/>
      <c r="U208" s="4"/>
      <c r="V208" s="4"/>
      <c r="W208" s="4"/>
      <c r="X208" s="4"/>
      <c r="Y208" s="4"/>
      <c r="Z208" s="4"/>
      <c r="AA208" s="4"/>
      <c r="AB208" s="4">
        <v>0</v>
      </c>
      <c r="AC208" s="11"/>
      <c r="AD208" s="11">
        <v>0.55996527777777783</v>
      </c>
      <c r="AE208" s="4">
        <f t="shared" si="340"/>
        <v>48381.000000000007</v>
      </c>
      <c r="AF208" s="4"/>
      <c r="AG208" s="4"/>
      <c r="AH208" s="4"/>
    </row>
    <row r="209" spans="1:34" x14ac:dyDescent="0.25">
      <c r="A209" s="3" t="s">
        <v>274</v>
      </c>
      <c r="B209" s="9">
        <v>43462</v>
      </c>
      <c r="C209" s="3">
        <v>2</v>
      </c>
      <c r="D209" s="3" t="s">
        <v>276</v>
      </c>
      <c r="E209" s="8">
        <v>0.56013888888888885</v>
      </c>
      <c r="F209" s="8">
        <v>0.56137731481481479</v>
      </c>
      <c r="G209" s="6">
        <f t="shared" ref="G209:G224" si="369">(F209-E209)*86400</f>
        <v>107.00000000000074</v>
      </c>
      <c r="H209" s="2">
        <v>2</v>
      </c>
      <c r="I209" s="2">
        <v>1</v>
      </c>
      <c r="J209" s="2">
        <v>121</v>
      </c>
      <c r="K209" s="2">
        <v>0</v>
      </c>
      <c r="L209" s="10">
        <v>0.56013888888888885</v>
      </c>
      <c r="M209" s="10">
        <v>0.56137731481481479</v>
      </c>
      <c r="N209" s="2">
        <f t="shared" ref="N209:N224" si="370">(M209-L209)*86400</f>
        <v>107.00000000000074</v>
      </c>
      <c r="O209" s="2"/>
      <c r="P209" s="13">
        <f t="shared" ref="P209:P210" si="371">(L209-E209)*86400</f>
        <v>0</v>
      </c>
      <c r="Q209" s="2">
        <v>0</v>
      </c>
      <c r="R209" s="7">
        <f t="shared" si="294"/>
        <v>0</v>
      </c>
      <c r="S209" s="4"/>
      <c r="T209" s="4"/>
      <c r="U209" s="4"/>
      <c r="V209" s="4"/>
      <c r="W209" s="4"/>
      <c r="X209" s="4"/>
      <c r="Y209" s="4">
        <f t="shared" ref="Y209:Y210" si="372">X209-W209</f>
        <v>0</v>
      </c>
      <c r="Z209" s="4">
        <f t="shared" ref="Z209:Z210" si="373">T209-S209</f>
        <v>0</v>
      </c>
      <c r="AA209" s="4"/>
      <c r="AB209" s="4">
        <v>0</v>
      </c>
      <c r="AC209" s="11"/>
      <c r="AD209" s="11"/>
      <c r="AE209" s="4">
        <f t="shared" si="340"/>
        <v>0</v>
      </c>
      <c r="AF209" s="4">
        <f>(AD209-M209)*86400</f>
        <v>-48503</v>
      </c>
      <c r="AG209" s="4">
        <v>0</v>
      </c>
      <c r="AH209" s="4">
        <f t="shared" si="344"/>
        <v>0</v>
      </c>
    </row>
    <row r="210" spans="1:34" x14ac:dyDescent="0.25">
      <c r="A210" s="3" t="s">
        <v>277</v>
      </c>
      <c r="B210" s="9">
        <v>43462</v>
      </c>
      <c r="C210" s="3">
        <v>3</v>
      </c>
      <c r="D210" s="3" t="s">
        <v>278</v>
      </c>
      <c r="E210" s="8">
        <v>0.6578356481481481</v>
      </c>
      <c r="F210" s="8">
        <v>0.65803240740740743</v>
      </c>
      <c r="G210" s="6">
        <f t="shared" si="369"/>
        <v>17.000000000005855</v>
      </c>
      <c r="H210" s="2">
        <v>2</v>
      </c>
      <c r="I210" s="2">
        <v>1</v>
      </c>
      <c r="J210" s="2">
        <v>134</v>
      </c>
      <c r="K210" s="2">
        <v>1</v>
      </c>
      <c r="L210" s="10">
        <v>0.6578356481481481</v>
      </c>
      <c r="M210" s="10">
        <v>0.65784722222222225</v>
      </c>
      <c r="N210" s="2">
        <f t="shared" si="370"/>
        <v>1.0000000000065512</v>
      </c>
      <c r="O210" s="2"/>
      <c r="P210" s="13">
        <f t="shared" si="371"/>
        <v>0</v>
      </c>
      <c r="Q210" s="2">
        <v>1</v>
      </c>
      <c r="R210" s="7">
        <f t="shared" si="294"/>
        <v>1.6666666666666667</v>
      </c>
      <c r="S210" s="4">
        <v>460</v>
      </c>
      <c r="T210" s="4">
        <v>314</v>
      </c>
      <c r="U210" s="4">
        <v>13.12</v>
      </c>
      <c r="V210" s="4">
        <v>8.36</v>
      </c>
      <c r="W210" s="4">
        <f t="shared" ref="W210" si="374">S210/U210</f>
        <v>35.060975609756099</v>
      </c>
      <c r="X210" s="4">
        <f t="shared" ref="X210" si="375">T210/V210</f>
        <v>37.559808612440193</v>
      </c>
      <c r="Y210" s="4">
        <f t="shared" si="372"/>
        <v>2.4988330026840941</v>
      </c>
      <c r="Z210" s="4">
        <f t="shared" si="373"/>
        <v>-146</v>
      </c>
      <c r="AA210" s="4">
        <f t="shared" ref="AA210" si="376">V210-U210</f>
        <v>-4.76</v>
      </c>
      <c r="AB210" s="4">
        <v>3</v>
      </c>
      <c r="AC210" s="11">
        <v>0.6578356481481481</v>
      </c>
      <c r="AD210" s="11">
        <v>0.65785879629629629</v>
      </c>
      <c r="AE210" s="4">
        <f t="shared" si="340"/>
        <v>2.0000000000035101</v>
      </c>
      <c r="AF210" s="4">
        <f>(AD211-M211)*86400</f>
        <v>0</v>
      </c>
      <c r="AG210" s="4">
        <v>2</v>
      </c>
      <c r="AH210" s="4">
        <f t="shared" si="344"/>
        <v>3.3333333333333335</v>
      </c>
    </row>
    <row r="211" spans="1:34" x14ac:dyDescent="0.25">
      <c r="A211" s="3"/>
      <c r="B211" s="9">
        <v>43462</v>
      </c>
      <c r="C211" s="3">
        <v>3</v>
      </c>
      <c r="D211" s="3"/>
      <c r="E211" s="8"/>
      <c r="F211" s="8"/>
      <c r="G211" s="6">
        <f t="shared" si="369"/>
        <v>0</v>
      </c>
      <c r="H211" s="2">
        <v>2</v>
      </c>
      <c r="I211" s="2"/>
      <c r="J211" s="2"/>
      <c r="K211" s="2">
        <v>0</v>
      </c>
      <c r="L211" s="10">
        <v>0.65785879629629629</v>
      </c>
      <c r="M211" s="10">
        <v>0.65803240740740743</v>
      </c>
      <c r="N211" s="2">
        <f t="shared" si="370"/>
        <v>15.000000000002345</v>
      </c>
      <c r="O211" s="2"/>
      <c r="P211" s="2"/>
      <c r="Q211" s="2"/>
      <c r="R211" s="7"/>
      <c r="S211" s="4"/>
      <c r="T211" s="4"/>
      <c r="U211" s="4"/>
      <c r="V211" s="4"/>
      <c r="W211" s="4"/>
      <c r="X211" s="4"/>
      <c r="Y211" s="4"/>
      <c r="Z211" s="4"/>
      <c r="AA211" s="4"/>
      <c r="AB211" s="4">
        <v>4</v>
      </c>
      <c r="AC211" s="11">
        <v>0.65785879629629629</v>
      </c>
      <c r="AD211" s="11">
        <v>0.65803240740740743</v>
      </c>
      <c r="AE211" s="4">
        <f t="shared" si="340"/>
        <v>15.000000000002345</v>
      </c>
      <c r="AF211" s="4"/>
      <c r="AG211" s="4">
        <v>1</v>
      </c>
      <c r="AH211" s="4">
        <f t="shared" si="344"/>
        <v>1.6666666666666667</v>
      </c>
    </row>
    <row r="212" spans="1:34" x14ac:dyDescent="0.25">
      <c r="A212" s="3" t="s">
        <v>279</v>
      </c>
      <c r="B212" s="9">
        <v>43462</v>
      </c>
      <c r="C212" s="3">
        <v>3</v>
      </c>
      <c r="D212" s="3" t="s">
        <v>280</v>
      </c>
      <c r="E212" s="8">
        <v>0.67083333333333339</v>
      </c>
      <c r="F212" s="8">
        <v>0.67175925925925928</v>
      </c>
      <c r="G212" s="6">
        <f t="shared" si="369"/>
        <v>79.999999999996518</v>
      </c>
      <c r="H212" s="2">
        <v>2</v>
      </c>
      <c r="I212" s="2">
        <v>1</v>
      </c>
      <c r="J212" s="2">
        <v>101</v>
      </c>
      <c r="K212" s="2">
        <v>0</v>
      </c>
      <c r="L212" s="10">
        <v>0.67083333333333339</v>
      </c>
      <c r="M212" s="10">
        <v>0.67175925925925928</v>
      </c>
      <c r="N212" s="2">
        <f t="shared" si="370"/>
        <v>79.999999999996518</v>
      </c>
      <c r="O212" s="2"/>
      <c r="P212" s="13">
        <f t="shared" ref="P212" si="377">(L212-E212)*86400</f>
        <v>0</v>
      </c>
      <c r="Q212" s="2">
        <v>0</v>
      </c>
      <c r="R212" s="7">
        <f t="shared" si="294"/>
        <v>0</v>
      </c>
      <c r="S212" s="4"/>
      <c r="T212" s="4"/>
      <c r="U212" s="4"/>
      <c r="V212" s="4"/>
      <c r="W212" s="4"/>
      <c r="X212" s="4"/>
      <c r="Y212" s="4">
        <f t="shared" ref="Y212:Y214" si="378">X212-W212</f>
        <v>0</v>
      </c>
      <c r="Z212" s="4">
        <f t="shared" ref="Z212:Z213" si="379">T212-S212</f>
        <v>0</v>
      </c>
      <c r="AA212" s="4"/>
      <c r="AB212" s="4">
        <v>4</v>
      </c>
      <c r="AC212" s="11">
        <v>0.67083333333333339</v>
      </c>
      <c r="AD212" s="11">
        <v>0.67175925925925928</v>
      </c>
      <c r="AE212" s="4">
        <f t="shared" si="340"/>
        <v>79.999999999996518</v>
      </c>
      <c r="AF212" s="4">
        <f>(AD212-M212)*86400</f>
        <v>0</v>
      </c>
      <c r="AG212" s="4"/>
      <c r="AH212" s="4"/>
    </row>
    <row r="213" spans="1:34" x14ac:dyDescent="0.25">
      <c r="A213" s="3" t="s">
        <v>281</v>
      </c>
      <c r="B213" s="9">
        <v>43462</v>
      </c>
      <c r="C213" s="3">
        <v>3</v>
      </c>
      <c r="D213" s="3" t="s">
        <v>282</v>
      </c>
      <c r="E213" s="8">
        <v>0.67434027777777772</v>
      </c>
      <c r="F213" s="8">
        <v>0.6804513888888889</v>
      </c>
      <c r="G213" s="6">
        <f t="shared" si="369"/>
        <v>528.0000000000058</v>
      </c>
      <c r="H213" s="2">
        <v>2</v>
      </c>
      <c r="I213" s="2">
        <v>1</v>
      </c>
      <c r="J213" s="2">
        <v>113</v>
      </c>
      <c r="K213" s="2">
        <v>0</v>
      </c>
      <c r="L213" s="10">
        <v>0.67434027777777772</v>
      </c>
      <c r="M213" s="10">
        <v>0.67771990740740751</v>
      </c>
      <c r="N213" s="2">
        <f t="shared" si="370"/>
        <v>292.00000000001364</v>
      </c>
      <c r="O213" s="2">
        <v>1</v>
      </c>
      <c r="P213" s="13">
        <f>(L214-E213)*86400</f>
        <v>294.00000000000762</v>
      </c>
      <c r="Q213" s="2">
        <v>1</v>
      </c>
      <c r="R213" s="7">
        <f t="shared" si="294"/>
        <v>1.6666666666666667</v>
      </c>
      <c r="S213" s="4"/>
      <c r="T213" s="4"/>
      <c r="U213" s="4"/>
      <c r="V213" s="4"/>
      <c r="W213" s="4"/>
      <c r="X213" s="4"/>
      <c r="Y213" s="4">
        <f t="shared" si="378"/>
        <v>0</v>
      </c>
      <c r="Z213" s="4">
        <f t="shared" si="379"/>
        <v>0</v>
      </c>
      <c r="AA213" s="4"/>
      <c r="AB213" s="4">
        <v>4</v>
      </c>
      <c r="AC213" s="11">
        <v>0.67434027777777772</v>
      </c>
      <c r="AD213" s="11">
        <v>0.67771990740740751</v>
      </c>
      <c r="AE213" s="4">
        <f t="shared" si="340"/>
        <v>292.00000000001364</v>
      </c>
      <c r="AF213" s="4">
        <f>(AD215-M215)*86400</f>
        <v>0</v>
      </c>
      <c r="AG213" s="4">
        <v>8</v>
      </c>
      <c r="AH213" s="4">
        <f t="shared" si="344"/>
        <v>13.333333333333334</v>
      </c>
    </row>
    <row r="214" spans="1:34" x14ac:dyDescent="0.25">
      <c r="A214" s="3"/>
      <c r="B214" s="9">
        <v>43462</v>
      </c>
      <c r="C214" s="3">
        <v>3</v>
      </c>
      <c r="D214" s="3"/>
      <c r="E214" s="8"/>
      <c r="F214" s="8"/>
      <c r="G214" s="6">
        <f t="shared" si="369"/>
        <v>0</v>
      </c>
      <c r="H214" s="2">
        <v>2</v>
      </c>
      <c r="I214" s="2"/>
      <c r="J214" s="2"/>
      <c r="K214" s="2">
        <v>1</v>
      </c>
      <c r="L214" s="10">
        <v>0.67774305555555558</v>
      </c>
      <c r="M214" s="10">
        <v>0.67776620370370377</v>
      </c>
      <c r="N214" s="2">
        <f t="shared" si="370"/>
        <v>2.0000000000035101</v>
      </c>
      <c r="O214" s="2"/>
      <c r="P214" s="2"/>
      <c r="Q214" s="2"/>
      <c r="R214" s="7"/>
      <c r="S214" s="4">
        <v>504</v>
      </c>
      <c r="T214" s="4">
        <v>329</v>
      </c>
      <c r="U214" s="4">
        <v>12.379</v>
      </c>
      <c r="V214" s="4">
        <v>8.2100000000000009</v>
      </c>
      <c r="W214" s="4">
        <f t="shared" ref="W214" si="380">S214/U214</f>
        <v>40.714112610065435</v>
      </c>
      <c r="X214" s="4">
        <f t="shared" ref="X214" si="381">T214/V214</f>
        <v>40.073081607795366</v>
      </c>
      <c r="Y214" s="4">
        <f t="shared" si="378"/>
        <v>-0.64103100227006848</v>
      </c>
      <c r="Z214" s="4"/>
      <c r="AA214" s="4">
        <f t="shared" ref="AA214" si="382">V214-U214</f>
        <v>-4.1689999999999987</v>
      </c>
      <c r="AB214" s="4">
        <v>2</v>
      </c>
      <c r="AC214" s="11">
        <v>0.67774305555555558</v>
      </c>
      <c r="AD214" s="11">
        <v>0.677800925925926</v>
      </c>
      <c r="AE214" s="4">
        <f t="shared" si="340"/>
        <v>5.000000000003979</v>
      </c>
      <c r="AF214" s="4"/>
      <c r="AG214" s="4"/>
      <c r="AH214" s="4"/>
    </row>
    <row r="215" spans="1:34" x14ac:dyDescent="0.25">
      <c r="A215" s="3"/>
      <c r="B215" s="9">
        <v>43462</v>
      </c>
      <c r="C215" s="3">
        <v>3</v>
      </c>
      <c r="D215" s="3"/>
      <c r="E215" s="8"/>
      <c r="F215" s="8"/>
      <c r="G215" s="6">
        <f t="shared" si="369"/>
        <v>0</v>
      </c>
      <c r="H215" s="2">
        <v>2</v>
      </c>
      <c r="I215" s="2"/>
      <c r="J215" s="2"/>
      <c r="K215" s="2">
        <v>0</v>
      </c>
      <c r="L215" s="10">
        <v>0.6777777777777777</v>
      </c>
      <c r="M215" s="10">
        <v>0.6804513888888889</v>
      </c>
      <c r="N215" s="2">
        <f t="shared" si="370"/>
        <v>231.00000000000733</v>
      </c>
      <c r="O215" s="2"/>
      <c r="P215" s="2"/>
      <c r="Q215" s="2"/>
      <c r="R215" s="7"/>
      <c r="S215" s="4"/>
      <c r="T215" s="4"/>
      <c r="U215" s="4"/>
      <c r="V215" s="4"/>
      <c r="W215" s="4"/>
      <c r="X215" s="4"/>
      <c r="Y215" s="4"/>
      <c r="Z215" s="4"/>
      <c r="AA215" s="4"/>
      <c r="AB215" s="4">
        <v>6</v>
      </c>
      <c r="AC215" s="11">
        <v>0.677800925925926</v>
      </c>
      <c r="AD215" s="11">
        <v>0.6804513888888889</v>
      </c>
      <c r="AE215" s="4">
        <f t="shared" si="340"/>
        <v>228.99999999999423</v>
      </c>
      <c r="AF215" s="4"/>
      <c r="AG215" s="4"/>
      <c r="AH215" s="4"/>
    </row>
    <row r="216" spans="1:34" x14ac:dyDescent="0.25">
      <c r="A216" s="3" t="s">
        <v>283</v>
      </c>
      <c r="B216" s="9">
        <v>43462</v>
      </c>
      <c r="C216" s="3">
        <v>3</v>
      </c>
      <c r="D216" s="3" t="s">
        <v>284</v>
      </c>
      <c r="E216" s="8">
        <v>0.68351851851851853</v>
      </c>
      <c r="F216" s="8">
        <v>0.68665509259259261</v>
      </c>
      <c r="G216" s="6">
        <f t="shared" si="369"/>
        <v>271.0000000000008</v>
      </c>
      <c r="H216" s="2">
        <v>2</v>
      </c>
      <c r="I216" s="2">
        <v>1</v>
      </c>
      <c r="J216" s="2">
        <v>113</v>
      </c>
      <c r="K216" s="2">
        <v>0</v>
      </c>
      <c r="L216" s="10">
        <v>0.68351851851851853</v>
      </c>
      <c r="M216" s="10">
        <v>0.68665509259259261</v>
      </c>
      <c r="N216" s="2">
        <f t="shared" si="370"/>
        <v>271.0000000000008</v>
      </c>
      <c r="O216" s="2"/>
      <c r="P216" s="13">
        <f t="shared" ref="P216:P217" si="383">(L216-E216)*86400</f>
        <v>0</v>
      </c>
      <c r="Q216" s="2">
        <v>0</v>
      </c>
      <c r="R216" s="7">
        <f t="shared" si="294"/>
        <v>0</v>
      </c>
      <c r="S216" s="4"/>
      <c r="T216" s="4"/>
      <c r="U216" s="4"/>
      <c r="V216" s="4"/>
      <c r="W216" s="4"/>
      <c r="X216" s="4"/>
      <c r="Y216" s="4">
        <f t="shared" ref="Y216:Y218" si="384">X216-W216</f>
        <v>0</v>
      </c>
      <c r="Z216" s="4">
        <f t="shared" ref="Z216:Z218" si="385">T216-S216</f>
        <v>0</v>
      </c>
      <c r="AA216" s="4"/>
      <c r="AB216" s="4">
        <v>4</v>
      </c>
      <c r="AC216" s="11">
        <v>0.68351851851851853</v>
      </c>
      <c r="AD216" s="11">
        <v>0.68665509259259261</v>
      </c>
      <c r="AE216" s="4">
        <f t="shared" si="340"/>
        <v>271.0000000000008</v>
      </c>
      <c r="AF216" s="4">
        <f>(AD216-M216)*86400</f>
        <v>0</v>
      </c>
      <c r="AG216" s="4">
        <v>2</v>
      </c>
      <c r="AH216" s="4">
        <f t="shared" si="344"/>
        <v>3.3333333333333335</v>
      </c>
    </row>
    <row r="217" spans="1:34" x14ac:dyDescent="0.25">
      <c r="A217" s="3" t="s">
        <v>285</v>
      </c>
      <c r="B217" s="9">
        <v>43463</v>
      </c>
      <c r="C217" s="3">
        <v>3</v>
      </c>
      <c r="D217" s="3" t="s">
        <v>286</v>
      </c>
      <c r="E217" s="8">
        <v>0.6560300925925926</v>
      </c>
      <c r="F217" s="8">
        <v>0.6560879629629629</v>
      </c>
      <c r="G217" s="6">
        <f t="shared" si="369"/>
        <v>4.9999999999943867</v>
      </c>
      <c r="H217" s="2">
        <v>1</v>
      </c>
      <c r="I217" s="2">
        <v>1</v>
      </c>
      <c r="J217" s="2">
        <v>89</v>
      </c>
      <c r="K217" s="2">
        <v>1</v>
      </c>
      <c r="L217" s="10">
        <v>0.6560300925925926</v>
      </c>
      <c r="M217" s="10">
        <v>0.65606481481481482</v>
      </c>
      <c r="N217" s="2">
        <f t="shared" si="370"/>
        <v>3.000000000000469</v>
      </c>
      <c r="O217" s="2"/>
      <c r="P217" s="13">
        <f t="shared" si="383"/>
        <v>0</v>
      </c>
      <c r="Q217" s="2">
        <v>1</v>
      </c>
      <c r="R217" s="7">
        <f t="shared" si="294"/>
        <v>1.6666666666666667</v>
      </c>
      <c r="S217" s="4">
        <v>235</v>
      </c>
      <c r="T217" s="4">
        <v>0</v>
      </c>
      <c r="U217" s="4">
        <v>5.59</v>
      </c>
      <c r="V217" s="4">
        <v>0</v>
      </c>
      <c r="W217" s="4">
        <f t="shared" ref="W217" si="386">S217/U217</f>
        <v>42.039355992844364</v>
      </c>
      <c r="X217" s="4">
        <v>0</v>
      </c>
      <c r="Y217" s="4">
        <f t="shared" si="384"/>
        <v>-42.039355992844364</v>
      </c>
      <c r="Z217" s="4">
        <f t="shared" si="385"/>
        <v>-235</v>
      </c>
      <c r="AA217" s="4">
        <f t="shared" ref="AA217" si="387">V217-U217</f>
        <v>-5.59</v>
      </c>
      <c r="AB217" s="4">
        <v>2</v>
      </c>
      <c r="AC217" s="11">
        <v>0.6560300925925926</v>
      </c>
      <c r="AD217" s="11">
        <v>0.6560879629629629</v>
      </c>
      <c r="AE217" s="4">
        <f t="shared" si="340"/>
        <v>4.9999999999943867</v>
      </c>
      <c r="AF217" s="4">
        <f>(AD217-M217)*86400</f>
        <v>1.9999999999939178</v>
      </c>
      <c r="AG217" s="4">
        <v>1</v>
      </c>
      <c r="AH217" s="4">
        <f t="shared" si="344"/>
        <v>1.6666666666666667</v>
      </c>
    </row>
    <row r="218" spans="1:34" x14ac:dyDescent="0.25">
      <c r="A218" s="3" t="s">
        <v>288</v>
      </c>
      <c r="B218" s="9">
        <v>43463</v>
      </c>
      <c r="C218" s="3">
        <v>3</v>
      </c>
      <c r="D218" s="3" t="s">
        <v>287</v>
      </c>
      <c r="E218" s="8">
        <v>0.66429398148148155</v>
      </c>
      <c r="F218" s="8">
        <v>0.6656481481481481</v>
      </c>
      <c r="G218" s="6">
        <f t="shared" si="369"/>
        <v>116.99999999998951</v>
      </c>
      <c r="H218" s="2">
        <v>2</v>
      </c>
      <c r="I218" s="2">
        <v>1</v>
      </c>
      <c r="J218" s="2">
        <v>110</v>
      </c>
      <c r="K218" s="2">
        <v>0</v>
      </c>
      <c r="L218" s="10">
        <v>0.66429398148148155</v>
      </c>
      <c r="M218" s="10">
        <v>0.66472222222222221</v>
      </c>
      <c r="N218" s="2">
        <f t="shared" si="370"/>
        <v>36.999999999992994</v>
      </c>
      <c r="O218" s="2">
        <v>1</v>
      </c>
      <c r="P218" s="13">
        <f>(L219-E218)*86400</f>
        <v>37.999999999999545</v>
      </c>
      <c r="Q218" s="2">
        <v>1</v>
      </c>
      <c r="R218" s="7">
        <f t="shared" si="294"/>
        <v>1.6666666666666667</v>
      </c>
      <c r="S218" s="4"/>
      <c r="T218" s="4"/>
      <c r="U218" s="4"/>
      <c r="V218" s="4"/>
      <c r="W218" s="4"/>
      <c r="X218" s="4"/>
      <c r="Y218" s="4">
        <f t="shared" si="384"/>
        <v>0</v>
      </c>
      <c r="Z218" s="4">
        <f t="shared" si="385"/>
        <v>0</v>
      </c>
      <c r="AA218" s="4"/>
      <c r="AB218" s="4">
        <v>4</v>
      </c>
      <c r="AC218" s="11">
        <v>0.66429398148148155</v>
      </c>
      <c r="AD218" s="11">
        <v>0.66472222222222221</v>
      </c>
      <c r="AE218" s="4">
        <f t="shared" si="340"/>
        <v>36.999999999992994</v>
      </c>
      <c r="AF218" s="4">
        <f>(AD220-M220)*86400</f>
        <v>0</v>
      </c>
      <c r="AG218" s="4">
        <v>4</v>
      </c>
      <c r="AH218" s="4">
        <f t="shared" si="344"/>
        <v>6.666666666666667</v>
      </c>
    </row>
    <row r="219" spans="1:34" x14ac:dyDescent="0.25">
      <c r="A219" s="3"/>
      <c r="B219" s="9">
        <v>43463</v>
      </c>
      <c r="C219" s="3">
        <v>3</v>
      </c>
      <c r="D219" s="3"/>
      <c r="E219" s="8"/>
      <c r="F219" s="8"/>
      <c r="G219" s="6">
        <f t="shared" si="369"/>
        <v>0</v>
      </c>
      <c r="H219" s="2">
        <v>2</v>
      </c>
      <c r="I219" s="2"/>
      <c r="J219" s="2"/>
      <c r="K219" s="2">
        <v>1</v>
      </c>
      <c r="L219" s="10">
        <v>0.66473379629629636</v>
      </c>
      <c r="M219" s="10">
        <v>0.66475694444444444</v>
      </c>
      <c r="N219" s="2">
        <f t="shared" si="370"/>
        <v>1.9999999999939178</v>
      </c>
      <c r="O219" s="2"/>
      <c r="P219" s="2"/>
      <c r="Q219" s="2"/>
      <c r="R219" s="7"/>
      <c r="S219" s="4"/>
      <c r="T219" s="4"/>
      <c r="U219" s="4"/>
      <c r="V219" s="4"/>
      <c r="W219" s="4"/>
      <c r="X219" s="4"/>
      <c r="Y219" s="4"/>
      <c r="Z219" s="4"/>
      <c r="AA219" s="4"/>
      <c r="AB219" s="4">
        <v>3</v>
      </c>
      <c r="AC219" s="11">
        <v>0.66473379629629636</v>
      </c>
      <c r="AD219" s="11">
        <v>0.66484953703703698</v>
      </c>
      <c r="AE219" s="4">
        <f t="shared" si="340"/>
        <v>9.9999999999887734</v>
      </c>
      <c r="AF219" s="4"/>
      <c r="AG219" s="4"/>
      <c r="AH219" s="4"/>
    </row>
    <row r="220" spans="1:34" x14ac:dyDescent="0.25">
      <c r="A220" s="3"/>
      <c r="B220" s="9">
        <v>43463</v>
      </c>
      <c r="C220" s="3">
        <v>3</v>
      </c>
      <c r="D220" s="3"/>
      <c r="E220" s="8"/>
      <c r="F220" s="8"/>
      <c r="G220" s="6">
        <f t="shared" si="369"/>
        <v>0</v>
      </c>
      <c r="H220" s="2">
        <v>2</v>
      </c>
      <c r="I220" s="2"/>
      <c r="J220" s="2"/>
      <c r="K220" s="2">
        <v>0</v>
      </c>
      <c r="L220" s="10">
        <v>0.6651273148148148</v>
      </c>
      <c r="M220" s="10">
        <v>0.6656481481481481</v>
      </c>
      <c r="N220" s="2">
        <f t="shared" si="370"/>
        <v>44.999999999997442</v>
      </c>
      <c r="O220" s="2"/>
      <c r="P220" s="2"/>
      <c r="Q220" s="2"/>
      <c r="R220" s="7"/>
      <c r="S220" s="4"/>
      <c r="T220" s="4"/>
      <c r="U220" s="4"/>
      <c r="V220" s="4"/>
      <c r="W220" s="4"/>
      <c r="X220" s="4"/>
      <c r="Y220" s="4"/>
      <c r="Z220" s="4"/>
      <c r="AA220" s="4"/>
      <c r="AB220" s="4">
        <v>4</v>
      </c>
      <c r="AC220" s="11">
        <v>0.6651273148148148</v>
      </c>
      <c r="AD220" s="11">
        <v>0.6656481481481481</v>
      </c>
      <c r="AE220" s="4">
        <f t="shared" si="340"/>
        <v>44.999999999997442</v>
      </c>
      <c r="AF220" s="4"/>
      <c r="AG220" s="4"/>
      <c r="AH220" s="4"/>
    </row>
    <row r="221" spans="1:34" x14ac:dyDescent="0.25">
      <c r="A221" s="3" t="s">
        <v>289</v>
      </c>
      <c r="B221" s="9">
        <v>43463</v>
      </c>
      <c r="C221" s="3">
        <v>3</v>
      </c>
      <c r="D221" s="3" t="s">
        <v>290</v>
      </c>
      <c r="E221" s="8">
        <v>0.66875000000000007</v>
      </c>
      <c r="F221" s="8">
        <v>0.66943287037037036</v>
      </c>
      <c r="G221" s="6">
        <f t="shared" si="369"/>
        <v>58.999999999993236</v>
      </c>
      <c r="H221" s="2">
        <v>2</v>
      </c>
      <c r="I221" s="2">
        <v>1</v>
      </c>
      <c r="J221" s="2">
        <v>110</v>
      </c>
      <c r="K221" s="2">
        <v>0</v>
      </c>
      <c r="L221" s="10">
        <v>0.66875000000000007</v>
      </c>
      <c r="M221" s="10">
        <v>0.66943287037037036</v>
      </c>
      <c r="N221" s="2">
        <f t="shared" si="370"/>
        <v>58.999999999993236</v>
      </c>
      <c r="O221" s="2"/>
      <c r="P221" s="13">
        <f t="shared" ref="P221:P224" si="388">(L221-E221)*86400</f>
        <v>0</v>
      </c>
      <c r="Q221" s="2">
        <v>0</v>
      </c>
      <c r="R221" s="7">
        <f t="shared" ref="R221:R224" si="389">Q221/0.6</f>
        <v>0</v>
      </c>
      <c r="S221" s="4"/>
      <c r="T221" s="4"/>
      <c r="U221" s="4"/>
      <c r="V221" s="4"/>
      <c r="W221" s="4"/>
      <c r="X221" s="4"/>
      <c r="Y221" s="4">
        <f t="shared" ref="Y221:Y224" si="390">X221-W221</f>
        <v>0</v>
      </c>
      <c r="Z221" s="4">
        <f t="shared" ref="Z221:Z224" si="391">T221-S221</f>
        <v>0</v>
      </c>
      <c r="AA221" s="4"/>
      <c r="AB221" s="4">
        <v>4</v>
      </c>
      <c r="AC221" s="11">
        <v>0.66875000000000007</v>
      </c>
      <c r="AD221" s="11">
        <v>0.66943287037037036</v>
      </c>
      <c r="AE221" s="4">
        <f t="shared" si="340"/>
        <v>58.999999999993236</v>
      </c>
      <c r="AF221" s="4">
        <f>(AD221-M221)*86400</f>
        <v>0</v>
      </c>
      <c r="AG221" s="4">
        <v>1</v>
      </c>
      <c r="AH221" s="4">
        <f t="shared" si="344"/>
        <v>1.6666666666666667</v>
      </c>
    </row>
    <row r="222" spans="1:34" x14ac:dyDescent="0.25">
      <c r="A222" s="3" t="s">
        <v>289</v>
      </c>
      <c r="B222" s="9">
        <v>43463</v>
      </c>
      <c r="C222" s="3">
        <v>3</v>
      </c>
      <c r="D222" s="3" t="s">
        <v>291</v>
      </c>
      <c r="E222" s="8">
        <v>0.67130787037037043</v>
      </c>
      <c r="F222" s="8">
        <v>0.67234953703703704</v>
      </c>
      <c r="G222" s="6">
        <f t="shared" si="369"/>
        <v>89.999999999994884</v>
      </c>
      <c r="H222" s="2">
        <v>2</v>
      </c>
      <c r="I222" s="2">
        <v>1</v>
      </c>
      <c r="J222" s="2">
        <v>110</v>
      </c>
      <c r="K222" s="2">
        <v>0</v>
      </c>
      <c r="L222" s="10">
        <v>0.67130787037037043</v>
      </c>
      <c r="M222" s="10">
        <v>0.67234953703703704</v>
      </c>
      <c r="N222" s="2">
        <f t="shared" si="370"/>
        <v>89.999999999994884</v>
      </c>
      <c r="O222" s="2"/>
      <c r="P222" s="13">
        <f t="shared" si="388"/>
        <v>0</v>
      </c>
      <c r="Q222" s="2">
        <v>0</v>
      </c>
      <c r="R222" s="7">
        <f t="shared" si="389"/>
        <v>0</v>
      </c>
      <c r="S222" s="4"/>
      <c r="T222" s="4"/>
      <c r="U222" s="4"/>
      <c r="V222" s="4"/>
      <c r="W222" s="4"/>
      <c r="X222" s="4"/>
      <c r="Y222" s="4">
        <f t="shared" si="390"/>
        <v>0</v>
      </c>
      <c r="Z222" s="4">
        <f t="shared" si="391"/>
        <v>0</v>
      </c>
      <c r="AA222" s="4"/>
      <c r="AB222" s="4">
        <v>4</v>
      </c>
      <c r="AC222" s="11">
        <v>0.67130787037037043</v>
      </c>
      <c r="AD222" s="11">
        <v>0.67234953703703704</v>
      </c>
      <c r="AE222" s="4">
        <f t="shared" si="340"/>
        <v>89.999999999994884</v>
      </c>
      <c r="AF222" s="4">
        <f>(AD222-M222)*86400</f>
        <v>0</v>
      </c>
      <c r="AG222" s="4">
        <v>2</v>
      </c>
      <c r="AH222" s="4">
        <f t="shared" si="344"/>
        <v>3.3333333333333335</v>
      </c>
    </row>
    <row r="223" spans="1:34" x14ac:dyDescent="0.25">
      <c r="A223" s="3" t="s">
        <v>289</v>
      </c>
      <c r="B223" s="9">
        <v>43463</v>
      </c>
      <c r="C223" s="3">
        <v>3</v>
      </c>
      <c r="D223" s="3" t="s">
        <v>292</v>
      </c>
      <c r="E223" s="8">
        <v>0.67336805555555557</v>
      </c>
      <c r="F223" s="8">
        <v>0.67413194444444446</v>
      </c>
      <c r="G223" s="6">
        <f t="shared" si="369"/>
        <v>66.000000000000725</v>
      </c>
      <c r="H223" s="2">
        <v>2</v>
      </c>
      <c r="I223" s="2">
        <v>1</v>
      </c>
      <c r="J223" s="2">
        <v>110</v>
      </c>
      <c r="K223" s="2">
        <v>0</v>
      </c>
      <c r="L223" s="10">
        <v>0.67336805555555557</v>
      </c>
      <c r="M223" s="10">
        <v>0.67413194444444446</v>
      </c>
      <c r="N223" s="2">
        <f t="shared" si="370"/>
        <v>66.000000000000725</v>
      </c>
      <c r="O223" s="2"/>
      <c r="P223" s="13">
        <f t="shared" si="388"/>
        <v>0</v>
      </c>
      <c r="Q223" s="2">
        <v>0</v>
      </c>
      <c r="R223" s="7">
        <f t="shared" si="389"/>
        <v>0</v>
      </c>
      <c r="S223" s="4"/>
      <c r="T223" s="4"/>
      <c r="U223" s="4"/>
      <c r="V223" s="4"/>
      <c r="W223" s="4"/>
      <c r="X223" s="4"/>
      <c r="Y223" s="4">
        <f t="shared" si="390"/>
        <v>0</v>
      </c>
      <c r="Z223" s="4">
        <f t="shared" si="391"/>
        <v>0</v>
      </c>
      <c r="AA223" s="4"/>
      <c r="AB223" s="4">
        <v>4</v>
      </c>
      <c r="AC223" s="11">
        <v>0.67336805555555557</v>
      </c>
      <c r="AD223" s="11">
        <v>0.67413194444444446</v>
      </c>
      <c r="AE223" s="4">
        <f t="shared" si="340"/>
        <v>66.000000000000725</v>
      </c>
      <c r="AF223" s="4">
        <f>(AD223-M223)*86400</f>
        <v>0</v>
      </c>
      <c r="AG223" s="4">
        <v>2</v>
      </c>
      <c r="AH223" s="4">
        <f t="shared" si="344"/>
        <v>3.3333333333333335</v>
      </c>
    </row>
    <row r="224" spans="1:34" x14ac:dyDescent="0.25">
      <c r="A224" s="3" t="s">
        <v>293</v>
      </c>
      <c r="B224" s="9">
        <v>43463</v>
      </c>
      <c r="C224" s="3">
        <v>3</v>
      </c>
      <c r="D224" s="3" t="s">
        <v>294</v>
      </c>
      <c r="E224" s="8">
        <v>0.6812962962962964</v>
      </c>
      <c r="F224" s="8">
        <v>0.68194444444444446</v>
      </c>
      <c r="G224" s="6">
        <f t="shared" si="369"/>
        <v>55.999999999992767</v>
      </c>
      <c r="H224" s="2">
        <v>2</v>
      </c>
      <c r="I224" s="2">
        <v>1</v>
      </c>
      <c r="J224" s="2">
        <v>110</v>
      </c>
      <c r="K224" s="2">
        <v>0</v>
      </c>
      <c r="L224" s="10">
        <v>0.6812962962962964</v>
      </c>
      <c r="M224" s="10">
        <v>0.68194444444444446</v>
      </c>
      <c r="N224" s="2">
        <f t="shared" si="370"/>
        <v>55.999999999992767</v>
      </c>
      <c r="O224" s="2"/>
      <c r="P224" s="13">
        <f t="shared" si="388"/>
        <v>0</v>
      </c>
      <c r="Q224" s="2">
        <v>0</v>
      </c>
      <c r="R224" s="7">
        <f t="shared" si="389"/>
        <v>0</v>
      </c>
      <c r="S224" s="4"/>
      <c r="T224" s="4"/>
      <c r="U224" s="4"/>
      <c r="V224" s="4"/>
      <c r="W224" s="4"/>
      <c r="X224" s="4"/>
      <c r="Y224" s="4">
        <f t="shared" si="390"/>
        <v>0</v>
      </c>
      <c r="Z224" s="4">
        <f t="shared" si="391"/>
        <v>0</v>
      </c>
      <c r="AA224" s="4"/>
      <c r="AB224" s="4">
        <v>4</v>
      </c>
      <c r="AC224" s="11">
        <v>0.6812962962962964</v>
      </c>
      <c r="AD224" s="11">
        <v>0.68194444444444446</v>
      </c>
      <c r="AE224" s="4">
        <f t="shared" si="340"/>
        <v>55.999999999992767</v>
      </c>
      <c r="AF224" s="4">
        <f>(AD224-M224)*86400</f>
        <v>0</v>
      </c>
      <c r="AG224" s="4">
        <v>2</v>
      </c>
      <c r="AH224" s="4">
        <f t="shared" si="344"/>
        <v>3.3333333333333335</v>
      </c>
    </row>
    <row r="225" spans="1:34" x14ac:dyDescent="0.25">
      <c r="A225" s="16"/>
      <c r="B225" s="17"/>
      <c r="C225" s="16"/>
      <c r="D225" s="16"/>
      <c r="E225" s="18"/>
      <c r="F225" s="18"/>
      <c r="G225" s="16"/>
      <c r="H225" s="16"/>
      <c r="I225" s="16"/>
      <c r="J225" s="16"/>
      <c r="K225" s="16"/>
      <c r="L225" s="18"/>
      <c r="M225" s="18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9"/>
      <c r="AB225" s="16"/>
      <c r="AC225" s="18"/>
      <c r="AD225" s="18"/>
      <c r="AE225" s="16"/>
      <c r="AF225" s="16"/>
      <c r="AG225" s="16"/>
      <c r="AH225" s="16"/>
    </row>
    <row r="226" spans="1:34" x14ac:dyDescent="0.25">
      <c r="A226" s="16"/>
      <c r="B226" s="17"/>
      <c r="C226" s="16"/>
      <c r="D226" s="16"/>
      <c r="E226" s="18"/>
      <c r="F226" s="18"/>
      <c r="G226" s="16"/>
      <c r="H226" s="16"/>
      <c r="I226" s="16"/>
      <c r="J226" s="16"/>
      <c r="K226" s="16"/>
      <c r="L226" s="18"/>
      <c r="M226" s="18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8"/>
      <c r="AD226" s="18"/>
      <c r="AE226" s="16"/>
      <c r="AF226" s="16"/>
      <c r="AG226" s="16"/>
      <c r="AH226" s="16"/>
    </row>
    <row r="227" spans="1:34" x14ac:dyDescent="0.25">
      <c r="A227" s="16"/>
      <c r="B227" s="17"/>
      <c r="C227" s="16"/>
      <c r="D227" s="16"/>
      <c r="E227" s="18"/>
      <c r="F227" s="18"/>
      <c r="G227" s="16"/>
      <c r="H227" s="16"/>
      <c r="I227" s="16"/>
      <c r="J227" s="16"/>
      <c r="K227" s="16"/>
      <c r="L227" s="18"/>
      <c r="M227" s="18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8"/>
      <c r="AD227" s="18"/>
      <c r="AE227" s="16"/>
      <c r="AF227" s="16"/>
      <c r="AG227" s="16"/>
      <c r="AH227" s="16"/>
    </row>
    <row r="228" spans="1:34" x14ac:dyDescent="0.25">
      <c r="A228" s="16"/>
      <c r="B228" s="17"/>
      <c r="C228" s="16"/>
      <c r="D228" s="16"/>
      <c r="E228" s="18"/>
      <c r="F228" s="18"/>
      <c r="G228" s="16"/>
      <c r="H228" s="16"/>
      <c r="I228" s="16"/>
      <c r="J228" s="16"/>
      <c r="K228" s="16"/>
      <c r="L228" s="18"/>
      <c r="M228" s="18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8"/>
      <c r="AD228" s="18"/>
      <c r="AE228" s="16"/>
      <c r="AF228" s="16"/>
      <c r="AG228" s="16"/>
      <c r="AH228" s="16"/>
    </row>
    <row r="229" spans="1:34" x14ac:dyDescent="0.25">
      <c r="A229" s="16"/>
      <c r="B229" s="17"/>
      <c r="C229" s="16"/>
      <c r="D229" s="16"/>
      <c r="E229" s="18"/>
      <c r="F229" s="18"/>
      <c r="G229" s="16"/>
      <c r="H229" s="16"/>
      <c r="I229" s="16"/>
      <c r="J229" s="16"/>
      <c r="K229" s="16"/>
      <c r="L229" s="18"/>
      <c r="M229" s="18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8"/>
      <c r="AD229" s="18"/>
      <c r="AE229" s="16"/>
      <c r="AF229" s="16"/>
      <c r="AG229" s="16"/>
      <c r="AH229" s="16"/>
    </row>
    <row r="230" spans="1:34" x14ac:dyDescent="0.25">
      <c r="A230" s="16"/>
      <c r="B230" s="17"/>
      <c r="C230" s="16"/>
      <c r="D230" s="16"/>
      <c r="E230" s="18"/>
      <c r="F230" s="18"/>
      <c r="G230" s="16"/>
      <c r="H230" s="16"/>
      <c r="I230" s="16"/>
      <c r="J230" s="16"/>
      <c r="K230" s="16"/>
      <c r="L230" s="18"/>
      <c r="M230" s="18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8"/>
      <c r="AD230" s="18"/>
      <c r="AE230" s="16"/>
      <c r="AF230" s="16"/>
      <c r="AG230" s="16"/>
      <c r="AH230" s="16"/>
    </row>
    <row r="231" spans="1:34" x14ac:dyDescent="0.25">
      <c r="A231" s="16"/>
      <c r="B231" s="17"/>
      <c r="C231" s="16"/>
      <c r="D231" s="16"/>
      <c r="E231" s="18"/>
      <c r="F231" s="18"/>
      <c r="G231" s="16"/>
      <c r="H231" s="16"/>
      <c r="I231" s="16"/>
      <c r="J231" s="16"/>
      <c r="K231" s="16"/>
      <c r="L231" s="18"/>
      <c r="M231" s="18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8"/>
      <c r="AD231" s="18"/>
      <c r="AE231" s="16"/>
      <c r="AF231" s="16"/>
      <c r="AG231" s="16"/>
      <c r="AH231" s="16"/>
    </row>
    <row r="232" spans="1:34" x14ac:dyDescent="0.25">
      <c r="A232" s="16"/>
      <c r="B232" s="17"/>
      <c r="C232" s="16"/>
      <c r="D232" s="16"/>
      <c r="E232" s="18"/>
      <c r="F232" s="18"/>
      <c r="G232" s="16"/>
      <c r="H232" s="16"/>
      <c r="I232" s="16"/>
      <c r="J232" s="16"/>
      <c r="K232" s="16"/>
      <c r="L232" s="18"/>
      <c r="M232" s="18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8"/>
      <c r="AD232" s="18"/>
      <c r="AE232" s="16"/>
      <c r="AF232" s="16"/>
      <c r="AG232" s="16"/>
      <c r="AH232" s="16"/>
    </row>
    <row r="233" spans="1:34" x14ac:dyDescent="0.25">
      <c r="A233" s="16"/>
      <c r="B233" s="17"/>
      <c r="C233" s="16"/>
      <c r="D233" s="16"/>
      <c r="E233" s="18"/>
      <c r="F233" s="18"/>
      <c r="G233" s="16"/>
      <c r="H233" s="16"/>
      <c r="I233" s="16"/>
      <c r="J233" s="16"/>
      <c r="K233" s="16"/>
      <c r="L233" s="18"/>
      <c r="M233" s="18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8"/>
      <c r="AD233" s="18"/>
      <c r="AE233" s="16"/>
      <c r="AF233" s="16"/>
      <c r="AG233" s="16"/>
      <c r="AH233" s="16"/>
    </row>
  </sheetData>
  <conditionalFormatting sqref="I62:J62 M62:P62 I61:P61 F61:H64 F1:P60 I63:P64 F65:P1048576 W51:X53">
    <cfRule type="expression" dxfId="13" priority="1">
      <formula>ROW(A1)=HighlightRow</formula>
    </cfRule>
  </conditionalFormatting>
  <conditionalFormatting sqref="S51:V51 AI51:XFD51 AE52:AE53 AB51:AF51">
    <cfRule type="expression" dxfId="12" priority="6">
      <formula>ROW(#REF!)=HighlightRow</formula>
    </cfRule>
  </conditionalFormatting>
  <conditionalFormatting sqref="K62 E1:E1048576">
    <cfRule type="expression" dxfId="11" priority="9">
      <formula>ROW(A1)=HighlightRow</formula>
    </cfRule>
  </conditionalFormatting>
  <conditionalFormatting sqref="S52:V52 Q53:V53 Q51:R52 AA51:AA53 Q54:X54 Y51:Y55 Q1:Y50 Q55:Y1048576 XFC52:XFD53 AB52:AD53">
    <cfRule type="expression" dxfId="10" priority="10">
      <formula>ROW(J1)=HighlightRow</formula>
    </cfRule>
  </conditionalFormatting>
  <conditionalFormatting sqref="D1:D1048576">
    <cfRule type="expression" dxfId="9" priority="12">
      <formula>ROW(A1)=HighlightRow</formula>
    </cfRule>
  </conditionalFormatting>
  <conditionalFormatting sqref="AI50:XFD50 AH64:XFD67 Z51 AG52:XFB53 AG50:AH51">
    <cfRule type="expression" dxfId="8" priority="13">
      <formula>ROW(T50)=HighlightRow</formula>
    </cfRule>
  </conditionalFormatting>
  <conditionalFormatting sqref="AG64:AG67 AG54:XFB63 AG68:XFB1048576 AG1:XFB49">
    <cfRule type="expression" dxfId="7" priority="18">
      <formula>ROW(W1)=HighlightRow</formula>
    </cfRule>
  </conditionalFormatting>
  <conditionalFormatting sqref="C1:C1048576">
    <cfRule type="expression" dxfId="6" priority="30">
      <formula>ROW(A1)=HighlightRow</formula>
    </cfRule>
  </conditionalFormatting>
  <conditionalFormatting sqref="AF52:AF54 AB54:AE54 AB55:AF1048576 AB1:AF50">
    <cfRule type="expression" dxfId="5" priority="35">
      <formula>ROW(S1)=HighlightRow</formula>
    </cfRule>
  </conditionalFormatting>
  <conditionalFormatting sqref="B1:B1048576">
    <cfRule type="expression" dxfId="4" priority="45">
      <formula>ROW(A1)=HighlightRow</formula>
    </cfRule>
  </conditionalFormatting>
  <conditionalFormatting sqref="Z1:Z50 Z52:Z1048576">
    <cfRule type="expression" dxfId="3" priority="49">
      <formula>ROW(R1)=HighlightRow</formula>
    </cfRule>
  </conditionalFormatting>
  <conditionalFormatting sqref="A1:A1048576">
    <cfRule type="expression" dxfId="2" priority="62">
      <formula>ROW(#REF!)=HighlightRow</formula>
    </cfRule>
  </conditionalFormatting>
  <conditionalFormatting sqref="AA54:AA1048576 AA1:AA50">
    <cfRule type="expression" dxfId="1" priority="69">
      <formula>ROW(R1)=HighlightRow</formula>
    </cfRule>
  </conditionalFormatting>
  <conditionalFormatting sqref="XFC54:XFD63 XFC68:XFD1048576 XFC1:XFD49">
    <cfRule type="expression" dxfId="0" priority="73">
      <formula>ROW(XER1)=HighlightRow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Norman</dc:creator>
  <cp:lastModifiedBy>Josh Norman</cp:lastModifiedBy>
  <dcterms:created xsi:type="dcterms:W3CDTF">2021-03-15T11:41:27Z</dcterms:created>
  <dcterms:modified xsi:type="dcterms:W3CDTF">2022-11-18T14:03:34Z</dcterms:modified>
</cp:coreProperties>
</file>